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tra\Documents\"/>
    </mc:Choice>
  </mc:AlternateContent>
  <xr:revisionPtr revIDLastSave="0" documentId="13_ncr:1_{C242DE7B-00C9-42E5-A126-CEE842F34C64}" xr6:coauthVersionLast="47" xr6:coauthVersionMax="47" xr10:uidLastSave="{00000000-0000-0000-0000-000000000000}"/>
  <bookViews>
    <workbookView xWindow="-110" yWindow="-110" windowWidth="19420" windowHeight="10300" firstSheet="1" activeTab="1" xr2:uid="{3A306119-0378-42B3-9BAC-D1994FCF8DA9}"/>
  </bookViews>
  <sheets>
    <sheet name="Contoh Sales Report Walk In" sheetId="1" r:id="rId1"/>
    <sheet name="Contoh Sales Report Cafe" sheetId="4" r:id="rId2"/>
    <sheet name="Contoh Merchant Report" sheetId="2" r:id="rId3"/>
    <sheet name="Contoh Discount Repor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" i="2" l="1"/>
  <c r="Q8" i="2"/>
  <c r="Q9" i="2"/>
  <c r="Q10" i="2"/>
  <c r="Q11" i="2"/>
  <c r="R9" i="2"/>
  <c r="P7" i="2"/>
  <c r="P8" i="2"/>
  <c r="P9" i="2"/>
  <c r="P10" i="2"/>
  <c r="P11" i="2"/>
  <c r="L7" i="2"/>
  <c r="L8" i="2"/>
  <c r="L9" i="2"/>
  <c r="L10" i="2"/>
  <c r="L11" i="2"/>
  <c r="I7" i="2"/>
  <c r="I8" i="2"/>
  <c r="I9" i="2"/>
  <c r="I10" i="2"/>
  <c r="I11" i="2"/>
  <c r="F7" i="2"/>
  <c r="F8" i="2"/>
  <c r="F9" i="2"/>
  <c r="F10" i="2"/>
  <c r="R10" i="2" s="1"/>
  <c r="F11" i="2"/>
  <c r="R11" i="2" s="1"/>
  <c r="J7" i="2"/>
  <c r="J8" i="2"/>
  <c r="J9" i="2"/>
  <c r="J10" i="2"/>
  <c r="J11" i="2"/>
  <c r="J6" i="2"/>
  <c r="G7" i="2"/>
  <c r="G8" i="2"/>
  <c r="G9" i="2"/>
  <c r="G10" i="2"/>
  <c r="G11" i="2"/>
  <c r="G6" i="2"/>
  <c r="D7" i="2"/>
  <c r="D8" i="2"/>
  <c r="D9" i="2"/>
  <c r="D10" i="2"/>
  <c r="D11" i="2"/>
  <c r="D6" i="2"/>
  <c r="S9" i="4"/>
  <c r="S10" i="4"/>
  <c r="S11" i="4"/>
  <c r="I9" i="4"/>
  <c r="I10" i="4"/>
  <c r="I11" i="4"/>
  <c r="H9" i="4"/>
  <c r="M9" i="4" s="1"/>
  <c r="T9" i="4" s="1"/>
  <c r="H10" i="4"/>
  <c r="M10" i="4" s="1"/>
  <c r="T10" i="4" s="1"/>
  <c r="H11" i="4"/>
  <c r="M11" i="4" s="1"/>
  <c r="T11" i="4" s="1"/>
  <c r="O13" i="4"/>
  <c r="P13" i="4"/>
  <c r="Q13" i="4"/>
  <c r="R13" i="4"/>
  <c r="N13" i="4"/>
  <c r="E13" i="4"/>
  <c r="F13" i="4"/>
  <c r="G13" i="4"/>
  <c r="J13" i="4"/>
  <c r="K13" i="4"/>
  <c r="L13" i="4"/>
  <c r="D13" i="4"/>
  <c r="I7" i="4"/>
  <c r="I8" i="4"/>
  <c r="I6" i="4"/>
  <c r="I13" i="4" s="1"/>
  <c r="H7" i="4"/>
  <c r="M7" i="4" s="1"/>
  <c r="H8" i="4"/>
  <c r="M8" i="4" s="1"/>
  <c r="H6" i="4"/>
  <c r="S8" i="4"/>
  <c r="S7" i="4"/>
  <c r="S6" i="4"/>
  <c r="S13" i="4" s="1"/>
  <c r="O7" i="1"/>
  <c r="O8" i="1"/>
  <c r="O6" i="1"/>
  <c r="D6" i="1"/>
  <c r="F8" i="1"/>
  <c r="I8" i="1" s="1"/>
  <c r="P8" i="1" s="1"/>
  <c r="F6" i="1"/>
  <c r="I6" i="1" s="1"/>
  <c r="L6" i="2"/>
  <c r="I6" i="2"/>
  <c r="F6" i="2"/>
  <c r="Q6" i="2"/>
  <c r="P6" i="2"/>
  <c r="E13" i="2"/>
  <c r="F13" i="2"/>
  <c r="G13" i="2"/>
  <c r="H13" i="2"/>
  <c r="I13" i="2"/>
  <c r="J13" i="2"/>
  <c r="K13" i="2"/>
  <c r="L13" i="2"/>
  <c r="M13" i="2"/>
  <c r="N13" i="2"/>
  <c r="D13" i="2"/>
  <c r="E11" i="1"/>
  <c r="G11" i="1"/>
  <c r="H11" i="1"/>
  <c r="J11" i="1"/>
  <c r="K11" i="1"/>
  <c r="L11" i="1"/>
  <c r="M11" i="1"/>
  <c r="R7" i="2" l="1"/>
  <c r="R8" i="2"/>
  <c r="T7" i="4"/>
  <c r="H13" i="4"/>
  <c r="M6" i="4"/>
  <c r="M13" i="4" s="1"/>
  <c r="T8" i="4"/>
  <c r="P6" i="1"/>
  <c r="R6" i="2"/>
  <c r="P13" i="2"/>
  <c r="O11" i="1"/>
  <c r="O13" i="2"/>
  <c r="Q13" i="2"/>
  <c r="R13" i="2" l="1"/>
  <c r="D11" i="1"/>
  <c r="F7" i="1"/>
  <c r="T6" i="4" l="1"/>
  <c r="T13" i="4" s="1"/>
  <c r="I7" i="1"/>
  <c r="F11" i="1"/>
  <c r="I11" i="1" l="1"/>
  <c r="P7" i="1"/>
  <c r="P11" i="1" s="1"/>
</calcChain>
</file>

<file path=xl/sharedStrings.xml><?xml version="1.0" encoding="utf-8"?>
<sst xmlns="http://schemas.openxmlformats.org/spreadsheetml/2006/main" count="114" uniqueCount="46">
  <si>
    <t>Date</t>
  </si>
  <si>
    <t>Gross Amount Excl.</t>
  </si>
  <si>
    <t>Discount</t>
  </si>
  <si>
    <t>Net Sales</t>
  </si>
  <si>
    <t>Tax</t>
  </si>
  <si>
    <t>Charge</t>
  </si>
  <si>
    <t>Gross Sales (All incl)</t>
  </si>
  <si>
    <t>BCA</t>
  </si>
  <si>
    <t>BRI</t>
  </si>
  <si>
    <t>Nusapay</t>
  </si>
  <si>
    <t>Deposit</t>
  </si>
  <si>
    <t>Total</t>
  </si>
  <si>
    <t>TOTAL</t>
  </si>
  <si>
    <t>POS</t>
  </si>
  <si>
    <t>01/06/2026 - 03/06/2026</t>
  </si>
  <si>
    <t>Periode :</t>
  </si>
  <si>
    <t>MDR</t>
  </si>
  <si>
    <t>Net Amount</t>
  </si>
  <si>
    <t>Amont Transaction</t>
  </si>
  <si>
    <t>Store</t>
  </si>
  <si>
    <t>Diff</t>
  </si>
  <si>
    <t>NUSAPAY</t>
  </si>
  <si>
    <t>DEPOSIT</t>
  </si>
  <si>
    <t>DAILY SALES REPORT</t>
  </si>
  <si>
    <t>Platform</t>
  </si>
  <si>
    <t>Walk In Ticket</t>
  </si>
  <si>
    <t>DISCOUNT REPORT</t>
  </si>
  <si>
    <t>No. Bill</t>
  </si>
  <si>
    <t>Remark</t>
  </si>
  <si>
    <t>Total Discount</t>
  </si>
  <si>
    <t>01/06/2026 - 01/06/2026</t>
  </si>
  <si>
    <t>Payment Method / Merchant Report</t>
  </si>
  <si>
    <t xml:space="preserve">MERCHANT REPORT </t>
  </si>
  <si>
    <t>Voucher</t>
  </si>
  <si>
    <t>Carstensz Paw Patrol</t>
  </si>
  <si>
    <t>Mr. Porter Café Carstensz</t>
  </si>
  <si>
    <t>Food and Beverage</t>
  </si>
  <si>
    <t>Gross Amount Excl (Food)</t>
  </si>
  <si>
    <t>Gross Amount Excl (Beverage)</t>
  </si>
  <si>
    <t>Discount (Food)</t>
  </si>
  <si>
    <t>Discount (Beverage)</t>
  </si>
  <si>
    <t>Net Sales (Food)</t>
  </si>
  <si>
    <t>Net Sales (Beverage)</t>
  </si>
  <si>
    <t>Service Charge (Food)</t>
  </si>
  <si>
    <t>Service Charge (Beverage)</t>
  </si>
  <si>
    <t>Garfield 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</si>
</sst>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164" fontId="2" fillId="0" borderId="0" xfId="1" applyNumberFormat="1" applyFont="1" applyAlignment="1">
      <alignment horizontal="center" vertical="center" wrapText="1"/>
    </xf>
    <xf numFmtId="14" fontId="0" fillId="0" borderId="0" xfId="1" applyNumberFormat="1" applyFont="1" applyAlignment="1">
      <alignment vertical="center"/>
    </xf>
    <xf numFmtId="164" fontId="0" fillId="0" borderId="0" xfId="1" applyNumberFormat="1" applyFont="1" applyAlignment="1">
      <alignment vertical="center"/>
    </xf>
    <xf numFmtId="14" fontId="2" fillId="2" borderId="1" xfId="1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14" fontId="0" fillId="0" borderId="1" xfId="1" applyNumberFormat="1" applyFont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4" fontId="2" fillId="3" borderId="1" xfId="1" applyNumberFormat="1" applyFont="1" applyFill="1" applyBorder="1" applyAlignment="1">
      <alignment vertical="center"/>
    </xf>
    <xf numFmtId="164" fontId="2" fillId="3" borderId="1" xfId="1" applyNumberFormat="1" applyFont="1" applyFill="1" applyBorder="1" applyAlignment="1">
      <alignment vertical="center"/>
    </xf>
    <xf numFmtId="14" fontId="2" fillId="0" borderId="0" xfId="1" applyNumberFormat="1" applyFont="1" applyAlignment="1">
      <alignment vertical="center"/>
    </xf>
    <xf numFmtId="164" fontId="2" fillId="0" borderId="0" xfId="1" applyNumberFormat="1" applyFont="1" applyAlignment="1">
      <alignment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14" fontId="1" fillId="0" borderId="1" xfId="1" applyNumberFormat="1" applyFont="1" applyFill="1" applyBorder="1" applyAlignment="1">
      <alignment vertical="center"/>
    </xf>
    <xf numFmtId="164" fontId="1" fillId="0" borderId="1" xfId="1" applyNumberFormat="1" applyFont="1" applyFill="1" applyBorder="1" applyAlignment="1">
      <alignment vertical="center"/>
    </xf>
    <xf numFmtId="164" fontId="0" fillId="0" borderId="1" xfId="1" applyNumberFormat="1" applyFont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4" fontId="2" fillId="2" borderId="1" xfId="1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266700</xdr:colOff>
      <xdr:row>5</xdr:row>
      <xdr:rowOff>120650</xdr:rowOff>
    </xdr:from>
    <xdr:to>
      <xdr:col>13</xdr:col>
      <xdr:colOff>749300</xdr:colOff>
      <xdr:row>9</xdr:row>
      <xdr:rowOff>82550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300D68-581E-66A9-1656-C983A155E2A8}"/>
            </a:ext>
          </a:extLst>
        </xdr:cNvPr>
        <xdr:cNvSpPr txBox="1"/>
      </xdr:nvSpPr>
      <xdr:spPr>
        <a:xfrm>
          <a:off x="12096750" y="1365250"/>
          <a:ext cx="1346200" cy="774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/>
            <a:t>kolom deposit dan voucher dari data tender POS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64DD6-148F-4AEB-AB4F-FBCC8F8248AE}">
  <dimension ref="A1:P28"/>
  <sheetViews>
    <sheetView workbookViewId="0">
      <selection activeCell="C7" sqref="C7"/>
    </sheetView>
  </sheetViews>
  <sheetFormatPr defaultRowHeight="14.5" x14ac:dyDescent="0.35"/>
  <cols>
    <col min="1" max="1" width="12.36328125" style="2" customWidth="1"/>
    <col min="2" max="2" width="27.6328125" style="3" customWidth="1"/>
    <col min="3" max="3" width="13.7265625" style="13" bestFit="1" customWidth="1"/>
    <col min="4" max="16" width="12.36328125" style="3" customWidth="1"/>
    <col min="17" max="16384" width="8.7265625" style="3"/>
  </cols>
  <sheetData>
    <row r="1" spans="1:16" x14ac:dyDescent="0.35">
      <c r="A1" s="10" t="s">
        <v>23</v>
      </c>
    </row>
    <row r="2" spans="1:16" x14ac:dyDescent="0.35">
      <c r="A2" s="10" t="s">
        <v>15</v>
      </c>
      <c r="B2" s="11" t="s">
        <v>14</v>
      </c>
      <c r="C2" s="14"/>
    </row>
    <row r="4" spans="1:16" x14ac:dyDescent="0.35">
      <c r="D4" s="18" t="s">
        <v>13</v>
      </c>
      <c r="E4" s="18"/>
      <c r="F4" s="18"/>
      <c r="G4" s="18"/>
      <c r="H4" s="18"/>
      <c r="I4" s="18"/>
      <c r="J4" s="18" t="s">
        <v>31</v>
      </c>
      <c r="K4" s="18"/>
      <c r="L4" s="18"/>
      <c r="M4" s="18"/>
      <c r="N4" s="18"/>
      <c r="O4" s="18"/>
    </row>
    <row r="5" spans="1:16" s="1" customFormat="1" ht="40" customHeight="1" x14ac:dyDescent="0.35">
      <c r="A5" s="4" t="s">
        <v>0</v>
      </c>
      <c r="B5" s="5" t="s">
        <v>19</v>
      </c>
      <c r="C5" s="5" t="s">
        <v>24</v>
      </c>
      <c r="D5" s="5" t="s">
        <v>1</v>
      </c>
      <c r="E5" s="5" t="s">
        <v>2</v>
      </c>
      <c r="F5" s="5" t="s">
        <v>3</v>
      </c>
      <c r="G5" s="5" t="s">
        <v>4</v>
      </c>
      <c r="H5" s="5" t="s">
        <v>5</v>
      </c>
      <c r="I5" s="5" t="s">
        <v>6</v>
      </c>
      <c r="J5" s="5" t="s">
        <v>8</v>
      </c>
      <c r="K5" s="5" t="s">
        <v>7</v>
      </c>
      <c r="L5" s="5" t="s">
        <v>9</v>
      </c>
      <c r="M5" s="5" t="s">
        <v>10</v>
      </c>
      <c r="N5" s="5" t="s">
        <v>33</v>
      </c>
      <c r="O5" s="5" t="s">
        <v>11</v>
      </c>
      <c r="P5" s="5" t="s">
        <v>20</v>
      </c>
    </row>
    <row r="6" spans="1:16" ht="16" customHeight="1" x14ac:dyDescent="0.35">
      <c r="A6" s="6">
        <v>46174</v>
      </c>
      <c r="B6" s="7" t="s">
        <v>34</v>
      </c>
      <c r="C6" s="12" t="s">
        <v>25</v>
      </c>
      <c r="D6" s="7">
        <f>17910000/1.1</f>
        <v>16281818.18181818</v>
      </c>
      <c r="E6" s="7">
        <v>0</v>
      </c>
      <c r="F6" s="7">
        <f>D6-E6</f>
        <v>16281818.18181818</v>
      </c>
      <c r="G6" s="7">
        <v>1628181.8181818184</v>
      </c>
      <c r="H6" s="7">
        <v>0</v>
      </c>
      <c r="I6" s="7">
        <f>F6+G6+H6</f>
        <v>17910000</v>
      </c>
      <c r="J6" s="7">
        <v>9520000</v>
      </c>
      <c r="K6" s="7">
        <v>8390000</v>
      </c>
      <c r="L6" s="7">
        <v>0</v>
      </c>
      <c r="M6" s="7">
        <v>0</v>
      </c>
      <c r="N6" s="7">
        <v>0</v>
      </c>
      <c r="O6" s="7">
        <f>SUM(J6:N6)</f>
        <v>17910000</v>
      </c>
      <c r="P6" s="7">
        <f>I6-O6</f>
        <v>0</v>
      </c>
    </row>
    <row r="7" spans="1:16" ht="16" customHeight="1" x14ac:dyDescent="0.35">
      <c r="A7" s="6">
        <v>46175</v>
      </c>
      <c r="B7" s="7" t="s">
        <v>34</v>
      </c>
      <c r="C7" s="12" t="s">
        <v>25</v>
      </c>
      <c r="D7" s="7">
        <v>2554545.4545454541</v>
      </c>
      <c r="E7" s="7">
        <v>0</v>
      </c>
      <c r="F7" s="7">
        <f t="shared" ref="F7:F8" si="0">D7-E7</f>
        <v>2554545.4545454541</v>
      </c>
      <c r="G7" s="7">
        <v>255454.54545454544</v>
      </c>
      <c r="H7" s="7">
        <v>0</v>
      </c>
      <c r="I7" s="7">
        <f t="shared" ref="I7:I8" si="1">F7+G7+H7</f>
        <v>2809999.9999999995</v>
      </c>
      <c r="J7" s="7">
        <v>930000</v>
      </c>
      <c r="K7" s="7">
        <v>1880000</v>
      </c>
      <c r="L7" s="7">
        <v>0</v>
      </c>
      <c r="M7" s="7">
        <v>0</v>
      </c>
      <c r="N7" s="7">
        <v>0</v>
      </c>
      <c r="O7" s="7">
        <f t="shared" ref="O7" si="2">SUM(J7:N7)</f>
        <v>2810000</v>
      </c>
      <c r="P7" s="7">
        <f>I7-O7</f>
        <v>0</v>
      </c>
    </row>
    <row r="8" spans="1:16" ht="16" customHeight="1" x14ac:dyDescent="0.35">
      <c r="A8" s="6">
        <v>46176</v>
      </c>
      <c r="B8" s="7" t="s">
        <v>34</v>
      </c>
      <c r="C8" s="12" t="s">
        <v>25</v>
      </c>
      <c r="D8" s="7">
        <v>1236363.6363636362</v>
      </c>
      <c r="E8" s="7">
        <v>0</v>
      </c>
      <c r="F8" s="7">
        <f t="shared" si="0"/>
        <v>1236363.6363636362</v>
      </c>
      <c r="G8" s="7">
        <v>123636.36363636362</v>
      </c>
      <c r="H8" s="7">
        <v>0</v>
      </c>
      <c r="I8" s="7">
        <f t="shared" si="1"/>
        <v>1359999.9999999998</v>
      </c>
      <c r="J8" s="7">
        <v>780000</v>
      </c>
      <c r="K8" s="7">
        <v>580000</v>
      </c>
      <c r="L8" s="7">
        <v>0</v>
      </c>
      <c r="M8" s="7">
        <v>0</v>
      </c>
      <c r="N8" s="7">
        <v>0</v>
      </c>
      <c r="O8" s="7">
        <f>SUM(J8:N8)</f>
        <v>1360000</v>
      </c>
      <c r="P8" s="7">
        <f>I8-O8</f>
        <v>0</v>
      </c>
    </row>
    <row r="9" spans="1:16" ht="16" customHeight="1" x14ac:dyDescent="0.35">
      <c r="A9" s="6"/>
      <c r="B9" s="7"/>
      <c r="C9" s="12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16" customHeight="1" x14ac:dyDescent="0.35">
      <c r="A10" s="6"/>
      <c r="B10" s="7"/>
      <c r="C10" s="12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6" customHeight="1" x14ac:dyDescent="0.35">
      <c r="A11" s="8"/>
      <c r="B11" s="9" t="s">
        <v>12</v>
      </c>
      <c r="C11" s="15"/>
      <c r="D11" s="9">
        <f t="shared" ref="D11:P11" si="3">SUM(D6:D10)</f>
        <v>20072727.27272727</v>
      </c>
      <c r="E11" s="9">
        <f t="shared" si="3"/>
        <v>0</v>
      </c>
      <c r="F11" s="9">
        <f t="shared" si="3"/>
        <v>20072727.27272727</v>
      </c>
      <c r="G11" s="9">
        <f t="shared" si="3"/>
        <v>2007272.7272727273</v>
      </c>
      <c r="H11" s="9">
        <f t="shared" si="3"/>
        <v>0</v>
      </c>
      <c r="I11" s="9">
        <f t="shared" si="3"/>
        <v>22080000</v>
      </c>
      <c r="J11" s="9">
        <f t="shared" si="3"/>
        <v>11230000</v>
      </c>
      <c r="K11" s="9">
        <f t="shared" si="3"/>
        <v>10850000</v>
      </c>
      <c r="L11" s="9">
        <f t="shared" si="3"/>
        <v>0</v>
      </c>
      <c r="M11" s="9">
        <f t="shared" si="3"/>
        <v>0</v>
      </c>
      <c r="N11" s="9"/>
      <c r="O11" s="9">
        <f t="shared" si="3"/>
        <v>22080000</v>
      </c>
      <c r="P11" s="9">
        <f t="shared" si="3"/>
        <v>0</v>
      </c>
    </row>
    <row r="12" spans="1:16" ht="16" customHeight="1" x14ac:dyDescent="0.35"/>
    <row r="13" spans="1:16" ht="16" customHeight="1" x14ac:dyDescent="0.35"/>
    <row r="14" spans="1:16" ht="16" customHeight="1" x14ac:dyDescent="0.35"/>
    <row r="15" spans="1:16" ht="16" customHeight="1" x14ac:dyDescent="0.35"/>
    <row r="16" spans="1:16" ht="16" customHeight="1" x14ac:dyDescent="0.35"/>
    <row r="17" ht="16" customHeight="1" x14ac:dyDescent="0.35"/>
    <row r="18" ht="16" customHeight="1" x14ac:dyDescent="0.35"/>
    <row r="19" ht="16" customHeight="1" x14ac:dyDescent="0.35"/>
    <row r="20" ht="16" customHeight="1" x14ac:dyDescent="0.35"/>
    <row r="21" ht="16" customHeight="1" x14ac:dyDescent="0.35"/>
    <row r="22" ht="16" customHeight="1" x14ac:dyDescent="0.35"/>
    <row r="23" ht="16" customHeight="1" x14ac:dyDescent="0.35"/>
    <row r="24" ht="16" customHeight="1" x14ac:dyDescent="0.35"/>
    <row r="25" ht="16" customHeight="1" x14ac:dyDescent="0.35"/>
    <row r="26" ht="16" customHeight="1" x14ac:dyDescent="0.35"/>
    <row r="27" ht="16" customHeight="1" x14ac:dyDescent="0.35"/>
    <row r="28" ht="16" customHeight="1" x14ac:dyDescent="0.35"/>
  </sheetData>
  <mergeCells count="2">
    <mergeCell ref="D4:I4"/>
    <mergeCell ref="J4:O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9E37-B0EC-4F62-AB06-6E62885752B0}">
  <dimension ref="A1:T30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14" sqref="D14"/>
    </sheetView>
  </sheetViews>
  <sheetFormatPr defaultRowHeight="14.5" x14ac:dyDescent="0.35"/>
  <cols>
    <col min="1" max="1" width="12.36328125" style="2" customWidth="1"/>
    <col min="2" max="2" width="27.6328125" style="3" customWidth="1"/>
    <col min="3" max="3" width="18.1796875" style="13" bestFit="1" customWidth="1"/>
    <col min="4" max="5" width="15.453125" style="3" customWidth="1"/>
    <col min="6" max="9" width="12.36328125" style="3" customWidth="1"/>
    <col min="10" max="10" width="13.453125" style="3" customWidth="1"/>
    <col min="11" max="11" width="13.54296875" style="3" customWidth="1"/>
    <col min="12" max="20" width="12.36328125" style="3" customWidth="1"/>
    <col min="21" max="16384" width="8.7265625" style="3"/>
  </cols>
  <sheetData>
    <row r="1" spans="1:20" x14ac:dyDescent="0.35">
      <c r="A1" s="10" t="s">
        <v>23</v>
      </c>
    </row>
    <row r="2" spans="1:20" x14ac:dyDescent="0.35">
      <c r="A2" s="10" t="s">
        <v>15</v>
      </c>
      <c r="B2" s="11" t="s">
        <v>14</v>
      </c>
      <c r="C2" s="14"/>
    </row>
    <row r="4" spans="1:20" x14ac:dyDescent="0.35">
      <c r="D4" s="18" t="s">
        <v>13</v>
      </c>
      <c r="E4" s="18"/>
      <c r="F4" s="18"/>
      <c r="G4" s="18"/>
      <c r="H4" s="18"/>
      <c r="I4" s="18"/>
      <c r="J4" s="18"/>
      <c r="K4" s="18"/>
      <c r="L4" s="18"/>
      <c r="M4" s="18"/>
      <c r="N4" s="18" t="s">
        <v>31</v>
      </c>
      <c r="O4" s="18"/>
      <c r="P4" s="18"/>
      <c r="Q4" s="18"/>
      <c r="R4" s="18"/>
      <c r="S4" s="18"/>
    </row>
    <row r="5" spans="1:20" s="1" customFormat="1" ht="40" customHeight="1" x14ac:dyDescent="0.35">
      <c r="A5" s="4" t="s">
        <v>0</v>
      </c>
      <c r="B5" s="5" t="s">
        <v>19</v>
      </c>
      <c r="C5" s="5" t="s">
        <v>24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</v>
      </c>
      <c r="M5" s="5" t="s">
        <v>6</v>
      </c>
      <c r="N5" s="5" t="s">
        <v>8</v>
      </c>
      <c r="O5" s="5" t="s">
        <v>7</v>
      </c>
      <c r="P5" s="5" t="s">
        <v>9</v>
      </c>
      <c r="Q5" s="5" t="s">
        <v>10</v>
      </c>
      <c r="R5" s="5" t="s">
        <v>33</v>
      </c>
      <c r="S5" s="5" t="s">
        <v>11</v>
      </c>
      <c r="T5" s="5" t="s">
        <v>20</v>
      </c>
    </row>
    <row r="6" spans="1:20" ht="16" customHeight="1" x14ac:dyDescent="0.35">
      <c r="A6" s="6">
        <v>46174</v>
      </c>
      <c r="B6" s="7" t="s">
        <v>35</v>
      </c>
      <c r="C6" s="12" t="s">
        <v>36</v>
      </c>
      <c r="D6" s="7">
        <v>4355000</v>
      </c>
      <c r="E6" s="7">
        <v>1078000</v>
      </c>
      <c r="F6" s="7"/>
      <c r="G6" s="7"/>
      <c r="H6" s="7">
        <f>D6-F6</f>
        <v>4355000</v>
      </c>
      <c r="I6" s="7">
        <f>E6-G6</f>
        <v>1078000</v>
      </c>
      <c r="J6" s="7">
        <v>294350</v>
      </c>
      <c r="K6" s="7">
        <v>75460</v>
      </c>
      <c r="L6" s="7">
        <v>580281</v>
      </c>
      <c r="M6" s="7">
        <f>H6+I6+J6+K6+L6</f>
        <v>6383091</v>
      </c>
      <c r="N6" s="7">
        <v>904156</v>
      </c>
      <c r="O6" s="7">
        <v>794475</v>
      </c>
      <c r="P6" s="7">
        <v>4684460</v>
      </c>
      <c r="Q6" s="7">
        <v>0</v>
      </c>
      <c r="R6" s="7">
        <v>0</v>
      </c>
      <c r="S6" s="7">
        <f>SUM(N6:R6)</f>
        <v>6383091</v>
      </c>
      <c r="T6" s="7">
        <f>M6-S6</f>
        <v>0</v>
      </c>
    </row>
    <row r="7" spans="1:20" ht="16" customHeight="1" x14ac:dyDescent="0.35">
      <c r="A7" s="6">
        <v>46175</v>
      </c>
      <c r="B7" s="7" t="s">
        <v>35</v>
      </c>
      <c r="C7" s="12" t="s">
        <v>36</v>
      </c>
      <c r="D7" s="7">
        <v>1355000</v>
      </c>
      <c r="E7" s="7">
        <v>335000</v>
      </c>
      <c r="F7" s="7">
        <v>292500</v>
      </c>
      <c r="G7" s="7">
        <v>39000</v>
      </c>
      <c r="H7" s="7">
        <f t="shared" ref="H7:H11" si="0">D7-F7</f>
        <v>1062500</v>
      </c>
      <c r="I7" s="7">
        <f t="shared" ref="I7:I11" si="1">E7-G7</f>
        <v>296000</v>
      </c>
      <c r="J7" s="7">
        <v>74375</v>
      </c>
      <c r="K7" s="7">
        <v>20720.000000000004</v>
      </c>
      <c r="L7" s="7">
        <v>145359.5</v>
      </c>
      <c r="M7" s="7">
        <f t="shared" ref="M7:M11" si="2">H7+I7+J7+K7+L7</f>
        <v>1598954.5</v>
      </c>
      <c r="N7" s="7"/>
      <c r="O7" s="7">
        <v>963375</v>
      </c>
      <c r="P7" s="7">
        <v>635580</v>
      </c>
      <c r="Q7" s="7">
        <v>0</v>
      </c>
      <c r="R7" s="7">
        <v>0</v>
      </c>
      <c r="S7" s="7">
        <f t="shared" ref="S7" si="3">SUM(N7:R7)</f>
        <v>1598955</v>
      </c>
      <c r="T7" s="7">
        <f>M7-S7</f>
        <v>-0.5</v>
      </c>
    </row>
    <row r="8" spans="1:20" ht="16" customHeight="1" x14ac:dyDescent="0.35">
      <c r="A8" s="6">
        <v>46176</v>
      </c>
      <c r="B8" s="7" t="s">
        <v>35</v>
      </c>
      <c r="C8" s="12" t="s">
        <v>36</v>
      </c>
      <c r="D8" s="7">
        <v>1230000</v>
      </c>
      <c r="E8" s="7">
        <v>265000</v>
      </c>
      <c r="F8" s="7">
        <v>146000</v>
      </c>
      <c r="G8" s="7">
        <v>18000</v>
      </c>
      <c r="H8" s="7">
        <f t="shared" si="0"/>
        <v>1084000</v>
      </c>
      <c r="I8" s="7">
        <f t="shared" si="1"/>
        <v>247000</v>
      </c>
      <c r="J8" s="7">
        <v>75880</v>
      </c>
      <c r="K8" s="7">
        <v>14490</v>
      </c>
      <c r="L8" s="7">
        <v>142137</v>
      </c>
      <c r="M8" s="7">
        <f t="shared" si="2"/>
        <v>1563507</v>
      </c>
      <c r="N8" s="7">
        <v>162426</v>
      </c>
      <c r="O8" s="7">
        <v>945131</v>
      </c>
      <c r="P8" s="7">
        <v>455950</v>
      </c>
      <c r="Q8" s="7">
        <v>0</v>
      </c>
      <c r="R8" s="7">
        <v>0</v>
      </c>
      <c r="S8" s="7">
        <f>SUM(N8:R8)</f>
        <v>1563507</v>
      </c>
      <c r="T8" s="7">
        <f>M8-S8</f>
        <v>0</v>
      </c>
    </row>
    <row r="9" spans="1:20" ht="16" customHeight="1" x14ac:dyDescent="0.35">
      <c r="A9" s="6">
        <v>46174</v>
      </c>
      <c r="B9" s="7" t="s">
        <v>45</v>
      </c>
      <c r="C9" s="12" t="s">
        <v>36</v>
      </c>
      <c r="D9" s="7">
        <v>7870000</v>
      </c>
      <c r="E9" s="7">
        <v>1815000</v>
      </c>
      <c r="F9" s="7">
        <v>100000</v>
      </c>
      <c r="G9" s="7"/>
      <c r="H9" s="7">
        <f t="shared" si="0"/>
        <v>7770000</v>
      </c>
      <c r="I9" s="7">
        <f t="shared" si="1"/>
        <v>1815000</v>
      </c>
      <c r="J9" s="7">
        <v>777000</v>
      </c>
      <c r="K9" s="7">
        <v>181500</v>
      </c>
      <c r="L9" s="7">
        <v>1054350</v>
      </c>
      <c r="M9" s="7">
        <f t="shared" si="2"/>
        <v>11597850</v>
      </c>
      <c r="N9" s="7">
        <v>9676650</v>
      </c>
      <c r="O9" s="7">
        <v>490050</v>
      </c>
      <c r="P9" s="7">
        <v>10133750</v>
      </c>
      <c r="Q9" s="7">
        <v>0</v>
      </c>
      <c r="R9" s="7">
        <v>0</v>
      </c>
      <c r="S9" s="7">
        <f t="shared" ref="S9:S11" si="4">SUM(N9:R9)</f>
        <v>20300450</v>
      </c>
      <c r="T9" s="7">
        <f t="shared" ref="T9:T11" si="5">M9-S9</f>
        <v>-8702600</v>
      </c>
    </row>
    <row r="10" spans="1:20" ht="16" customHeight="1" x14ac:dyDescent="0.35">
      <c r="A10" s="6">
        <v>46175</v>
      </c>
      <c r="B10" s="7" t="s">
        <v>45</v>
      </c>
      <c r="C10" s="12" t="s">
        <v>36</v>
      </c>
      <c r="D10" s="7">
        <v>1230000</v>
      </c>
      <c r="E10" s="7">
        <v>378000</v>
      </c>
      <c r="F10" s="7"/>
      <c r="G10" s="7">
        <v>13500</v>
      </c>
      <c r="H10" s="7">
        <f t="shared" si="0"/>
        <v>1230000</v>
      </c>
      <c r="I10" s="7">
        <f t="shared" si="1"/>
        <v>364500</v>
      </c>
      <c r="J10" s="7">
        <v>123000</v>
      </c>
      <c r="K10" s="7">
        <v>36450</v>
      </c>
      <c r="L10" s="7">
        <v>175395</v>
      </c>
      <c r="M10" s="7">
        <f t="shared" si="2"/>
        <v>1929345</v>
      </c>
      <c r="N10" s="7">
        <v>685465</v>
      </c>
      <c r="O10" s="7">
        <v>108900</v>
      </c>
      <c r="P10" s="7">
        <v>1134980</v>
      </c>
      <c r="Q10" s="7">
        <v>0</v>
      </c>
      <c r="R10" s="7">
        <v>0</v>
      </c>
      <c r="S10" s="7">
        <f t="shared" si="4"/>
        <v>1929345</v>
      </c>
      <c r="T10" s="7">
        <f t="shared" si="5"/>
        <v>0</v>
      </c>
    </row>
    <row r="11" spans="1:20" ht="16" customHeight="1" x14ac:dyDescent="0.35">
      <c r="A11" s="6">
        <v>46176</v>
      </c>
      <c r="B11" s="7" t="s">
        <v>45</v>
      </c>
      <c r="C11" s="12" t="s">
        <v>36</v>
      </c>
      <c r="D11" s="7">
        <v>1915000</v>
      </c>
      <c r="E11" s="7">
        <v>932000</v>
      </c>
      <c r="F11" s="7">
        <v>70121.95</v>
      </c>
      <c r="G11" s="7">
        <v>29878.050000000003</v>
      </c>
      <c r="H11" s="7">
        <f t="shared" si="0"/>
        <v>1844878.05</v>
      </c>
      <c r="I11" s="7">
        <f t="shared" si="1"/>
        <v>902121.95</v>
      </c>
      <c r="J11" s="7">
        <v>184487.80500000002</v>
      </c>
      <c r="K11" s="7">
        <v>90212.195000000007</v>
      </c>
      <c r="L11" s="7">
        <v>302170</v>
      </c>
      <c r="M11" s="7">
        <f t="shared" si="2"/>
        <v>3323870</v>
      </c>
      <c r="N11" s="7">
        <v>1051490</v>
      </c>
      <c r="O11" s="7">
        <v>260150</v>
      </c>
      <c r="P11" s="7">
        <v>2012230</v>
      </c>
      <c r="Q11" s="7">
        <v>0</v>
      </c>
      <c r="R11" s="7">
        <v>0</v>
      </c>
      <c r="S11" s="7">
        <f t="shared" si="4"/>
        <v>3323870</v>
      </c>
      <c r="T11" s="7">
        <f t="shared" si="5"/>
        <v>0</v>
      </c>
    </row>
    <row r="12" spans="1:20" ht="16" customHeight="1" x14ac:dyDescent="0.35">
      <c r="A12" s="6"/>
      <c r="B12" s="7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ht="16" customHeight="1" x14ac:dyDescent="0.35">
      <c r="A13" s="8"/>
      <c r="B13" s="9" t="s">
        <v>12</v>
      </c>
      <c r="C13" s="15"/>
      <c r="D13" s="9">
        <f>SUM(D6:D12)</f>
        <v>17955000</v>
      </c>
      <c r="E13" s="9">
        <f>SUM(E6:E12)</f>
        <v>4803000</v>
      </c>
      <c r="F13" s="9">
        <f>SUM(F6:F12)</f>
        <v>608621.94999999995</v>
      </c>
      <c r="G13" s="9">
        <f>SUM(G6:G12)</f>
        <v>100378.05</v>
      </c>
      <c r="H13" s="9">
        <f>SUM(H6:H12)</f>
        <v>17346378.050000001</v>
      </c>
      <c r="I13" s="9">
        <f>SUM(I6:I12)</f>
        <v>4702621.95</v>
      </c>
      <c r="J13" s="9">
        <f>SUM(J6:J12)</f>
        <v>1529092.8049999999</v>
      </c>
      <c r="K13" s="9">
        <f>SUM(K6:K12)</f>
        <v>418832.19500000001</v>
      </c>
      <c r="L13" s="9">
        <f>SUM(L6:L12)</f>
        <v>2399692.5</v>
      </c>
      <c r="M13" s="9">
        <f>SUM(M6:M12)</f>
        <v>26396617.5</v>
      </c>
      <c r="N13" s="9">
        <f>SUM(N6:N12)</f>
        <v>12480187</v>
      </c>
      <c r="O13" s="9">
        <f>SUM(O6:O12)</f>
        <v>3562081</v>
      </c>
      <c r="P13" s="9">
        <f>SUM(P6:P12)</f>
        <v>19056950</v>
      </c>
      <c r="Q13" s="9">
        <f>SUM(Q6:Q12)</f>
        <v>0</v>
      </c>
      <c r="R13" s="9">
        <f>SUM(R6:R12)</f>
        <v>0</v>
      </c>
      <c r="S13" s="9">
        <f>SUM(S6:S12)</f>
        <v>35099218</v>
      </c>
      <c r="T13" s="9">
        <f>SUM(T6:T12)</f>
        <v>-8702600.5</v>
      </c>
    </row>
    <row r="14" spans="1:20" ht="16" customHeight="1" x14ac:dyDescent="0.35"/>
    <row r="15" spans="1:20" ht="16" customHeight="1" x14ac:dyDescent="0.35"/>
    <row r="16" spans="1:20" ht="16" customHeight="1" x14ac:dyDescent="0.35"/>
    <row r="17" ht="16" customHeight="1" x14ac:dyDescent="0.35"/>
    <row r="18" ht="16" customHeight="1" x14ac:dyDescent="0.35"/>
    <row r="19" ht="16" customHeight="1" x14ac:dyDescent="0.35"/>
    <row r="20" ht="16" customHeight="1" x14ac:dyDescent="0.35"/>
    <row r="21" ht="16" customHeight="1" x14ac:dyDescent="0.35"/>
    <row r="22" ht="16" customHeight="1" x14ac:dyDescent="0.35"/>
    <row r="23" ht="16" customHeight="1" x14ac:dyDescent="0.35"/>
    <row r="24" ht="16" customHeight="1" x14ac:dyDescent="0.35"/>
    <row r="25" ht="16" customHeight="1" x14ac:dyDescent="0.35"/>
    <row r="26" ht="16" customHeight="1" x14ac:dyDescent="0.35"/>
    <row r="27" ht="16" customHeight="1" x14ac:dyDescent="0.35"/>
    <row r="28" ht="16" customHeight="1" x14ac:dyDescent="0.35"/>
    <row r="29" ht="16" customHeight="1" x14ac:dyDescent="0.35"/>
    <row r="30" ht="16" customHeight="1" x14ac:dyDescent="0.35"/>
  </sheetData>
  <mergeCells count="2">
    <mergeCell ref="D4:M4"/>
    <mergeCell ref="N4:S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1834-865A-4FFF-8337-496032454D8C}">
  <dimension ref="A1:R30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14" sqref="E14"/>
    </sheetView>
  </sheetViews>
  <sheetFormatPr defaultRowHeight="14.5" x14ac:dyDescent="0.35"/>
  <cols>
    <col min="1" max="1" width="12.36328125" style="2" customWidth="1"/>
    <col min="2" max="2" width="32" style="3" customWidth="1"/>
    <col min="3" max="3" width="18.1796875" style="3" bestFit="1" customWidth="1"/>
    <col min="4" max="18" width="13.08984375" style="3" customWidth="1"/>
    <col min="19" max="16384" width="8.7265625" style="3"/>
  </cols>
  <sheetData>
    <row r="1" spans="1:18" x14ac:dyDescent="0.35">
      <c r="A1" s="10" t="s">
        <v>32</v>
      </c>
    </row>
    <row r="2" spans="1:18" x14ac:dyDescent="0.35">
      <c r="A2" s="10" t="s">
        <v>15</v>
      </c>
      <c r="B2" s="11" t="s">
        <v>14</v>
      </c>
      <c r="C2" s="11"/>
    </row>
    <row r="4" spans="1:18" x14ac:dyDescent="0.35">
      <c r="A4" s="20" t="s">
        <v>0</v>
      </c>
      <c r="B4" s="21" t="s">
        <v>19</v>
      </c>
      <c r="C4" s="21" t="s">
        <v>24</v>
      </c>
      <c r="D4" s="19" t="s">
        <v>8</v>
      </c>
      <c r="E4" s="19"/>
      <c r="F4" s="19"/>
      <c r="G4" s="19" t="s">
        <v>7</v>
      </c>
      <c r="H4" s="19"/>
      <c r="I4" s="19"/>
      <c r="J4" s="19" t="s">
        <v>21</v>
      </c>
      <c r="K4" s="19"/>
      <c r="L4" s="19"/>
      <c r="M4" s="19" t="s">
        <v>22</v>
      </c>
      <c r="N4" s="19"/>
      <c r="O4" s="19"/>
      <c r="P4" s="19" t="s">
        <v>12</v>
      </c>
      <c r="Q4" s="19"/>
      <c r="R4" s="19"/>
    </row>
    <row r="5" spans="1:18" s="1" customFormat="1" ht="29" x14ac:dyDescent="0.35">
      <c r="A5" s="20"/>
      <c r="B5" s="21"/>
      <c r="C5" s="21"/>
      <c r="D5" s="5" t="s">
        <v>18</v>
      </c>
      <c r="E5" s="5" t="s">
        <v>16</v>
      </c>
      <c r="F5" s="5" t="s">
        <v>17</v>
      </c>
      <c r="G5" s="5" t="s">
        <v>18</v>
      </c>
      <c r="H5" s="5" t="s">
        <v>16</v>
      </c>
      <c r="I5" s="5" t="s">
        <v>17</v>
      </c>
      <c r="J5" s="5" t="s">
        <v>18</v>
      </c>
      <c r="K5" s="5" t="s">
        <v>16</v>
      </c>
      <c r="L5" s="5" t="s">
        <v>17</v>
      </c>
      <c r="M5" s="5" t="s">
        <v>18</v>
      </c>
      <c r="N5" s="5" t="s">
        <v>16</v>
      </c>
      <c r="O5" s="5" t="s">
        <v>17</v>
      </c>
      <c r="P5" s="5" t="s">
        <v>18</v>
      </c>
      <c r="Q5" s="5" t="s">
        <v>16</v>
      </c>
      <c r="R5" s="5" t="s">
        <v>17</v>
      </c>
    </row>
    <row r="6" spans="1:18" ht="16" customHeight="1" x14ac:dyDescent="0.35">
      <c r="A6" s="6">
        <v>46174</v>
      </c>
      <c r="B6" s="7" t="s">
        <v>35</v>
      </c>
      <c r="C6" s="12" t="s">
        <v>36</v>
      </c>
      <c r="D6" s="7">
        <f>'Contoh Sales Report Cafe'!N6</f>
        <v>904156</v>
      </c>
      <c r="E6" s="7">
        <v>4973</v>
      </c>
      <c r="F6" s="7">
        <f>D6-E6</f>
        <v>899183</v>
      </c>
      <c r="G6" s="7">
        <f>'Contoh Sales Report Cafe'!O6</f>
        <v>794475</v>
      </c>
      <c r="H6" s="7">
        <v>4644</v>
      </c>
      <c r="I6" s="7">
        <f>G6-H6</f>
        <v>789831</v>
      </c>
      <c r="J6" s="7">
        <f>'Contoh Sales Report Cafe'!P6</f>
        <v>4684460</v>
      </c>
      <c r="K6" s="7">
        <v>32791</v>
      </c>
      <c r="L6" s="7">
        <f>J6-K6</f>
        <v>4651669</v>
      </c>
      <c r="M6" s="7"/>
      <c r="N6" s="7"/>
      <c r="O6" s="7"/>
      <c r="P6" s="7">
        <f>D6+G6+J6+M6</f>
        <v>6383091</v>
      </c>
      <c r="Q6" s="7">
        <f>E6+H6+K6+N6</f>
        <v>42408</v>
      </c>
      <c r="R6" s="7">
        <f>F6+I6+L6+O6</f>
        <v>6340683</v>
      </c>
    </row>
    <row r="7" spans="1:18" ht="16" customHeight="1" x14ac:dyDescent="0.35">
      <c r="A7" s="6">
        <v>46175</v>
      </c>
      <c r="B7" s="7" t="s">
        <v>35</v>
      </c>
      <c r="C7" s="12" t="s">
        <v>36</v>
      </c>
      <c r="D7" s="7">
        <f>'Contoh Sales Report Cafe'!N7</f>
        <v>0</v>
      </c>
      <c r="E7" s="7"/>
      <c r="F7" s="7">
        <f t="shared" ref="F7:F11" si="0">D7-E7</f>
        <v>0</v>
      </c>
      <c r="G7" s="7">
        <f>'Contoh Sales Report Cafe'!O7</f>
        <v>963375</v>
      </c>
      <c r="H7" s="7">
        <v>1895</v>
      </c>
      <c r="I7" s="7">
        <f t="shared" ref="I7:I11" si="1">G7-H7</f>
        <v>961480</v>
      </c>
      <c r="J7" s="7">
        <f>'Contoh Sales Report Cafe'!P7</f>
        <v>635580</v>
      </c>
      <c r="K7" s="7">
        <v>4449</v>
      </c>
      <c r="L7" s="7">
        <f t="shared" ref="L7:L11" si="2">J7-K7</f>
        <v>631131</v>
      </c>
      <c r="M7" s="7"/>
      <c r="N7" s="7"/>
      <c r="O7" s="7"/>
      <c r="P7" s="7">
        <f t="shared" ref="P7:P11" si="3">D7+G7+J7+M7</f>
        <v>1598955</v>
      </c>
      <c r="Q7" s="7">
        <f t="shared" ref="Q7:Q11" si="4">E7+H7+K7+N7</f>
        <v>6344</v>
      </c>
      <c r="R7" s="7">
        <f t="shared" ref="R7:R11" si="5">F7+I7+L7+O7</f>
        <v>1592611</v>
      </c>
    </row>
    <row r="8" spans="1:18" ht="16" customHeight="1" x14ac:dyDescent="0.35">
      <c r="A8" s="6">
        <v>46176</v>
      </c>
      <c r="B8" s="7" t="s">
        <v>35</v>
      </c>
      <c r="C8" s="12" t="s">
        <v>36</v>
      </c>
      <c r="D8" s="7">
        <f>'Contoh Sales Report Cafe'!N8</f>
        <v>162426</v>
      </c>
      <c r="E8" s="7">
        <v>2112</v>
      </c>
      <c r="F8" s="7">
        <f t="shared" si="0"/>
        <v>160314</v>
      </c>
      <c r="G8" s="7">
        <f>'Contoh Sales Report Cafe'!O8</f>
        <v>945131</v>
      </c>
      <c r="H8" s="7">
        <v>1418</v>
      </c>
      <c r="I8" s="7">
        <f t="shared" si="1"/>
        <v>943713</v>
      </c>
      <c r="J8" s="7">
        <f>'Contoh Sales Report Cafe'!P8</f>
        <v>455950</v>
      </c>
      <c r="K8" s="7">
        <v>3192</v>
      </c>
      <c r="L8" s="7">
        <f t="shared" si="2"/>
        <v>452758</v>
      </c>
      <c r="M8" s="7"/>
      <c r="N8" s="7"/>
      <c r="O8" s="7"/>
      <c r="P8" s="7">
        <f t="shared" si="3"/>
        <v>1563507</v>
      </c>
      <c r="Q8" s="7">
        <f t="shared" si="4"/>
        <v>6722</v>
      </c>
      <c r="R8" s="7">
        <f t="shared" si="5"/>
        <v>1556785</v>
      </c>
    </row>
    <row r="9" spans="1:18" ht="16" customHeight="1" x14ac:dyDescent="0.35">
      <c r="A9" s="6">
        <v>46174</v>
      </c>
      <c r="B9" s="7" t="s">
        <v>45</v>
      </c>
      <c r="C9" s="12" t="s">
        <v>36</v>
      </c>
      <c r="D9" s="7">
        <f>'Contoh Sales Report Cafe'!N9</f>
        <v>9676650</v>
      </c>
      <c r="E9" s="7">
        <v>121549</v>
      </c>
      <c r="F9" s="7">
        <f t="shared" si="0"/>
        <v>9555101</v>
      </c>
      <c r="G9" s="7">
        <f>'Contoh Sales Report Cafe'!O9</f>
        <v>490050</v>
      </c>
      <c r="H9" s="7">
        <v>6020</v>
      </c>
      <c r="I9" s="7">
        <f t="shared" si="1"/>
        <v>484030</v>
      </c>
      <c r="J9" s="7">
        <f>'Contoh Sales Report Cafe'!P9</f>
        <v>10133750</v>
      </c>
      <c r="K9" s="7">
        <v>70936</v>
      </c>
      <c r="L9" s="7">
        <f t="shared" si="2"/>
        <v>10062814</v>
      </c>
      <c r="M9" s="7"/>
      <c r="N9" s="7"/>
      <c r="O9" s="7"/>
      <c r="P9" s="7">
        <f t="shared" si="3"/>
        <v>20300450</v>
      </c>
      <c r="Q9" s="7">
        <f t="shared" si="4"/>
        <v>198505</v>
      </c>
      <c r="R9" s="7">
        <f t="shared" si="5"/>
        <v>20101945</v>
      </c>
    </row>
    <row r="10" spans="1:18" ht="16" customHeight="1" x14ac:dyDescent="0.35">
      <c r="A10" s="6">
        <v>46175</v>
      </c>
      <c r="B10" s="7" t="s">
        <v>45</v>
      </c>
      <c r="C10" s="12" t="s">
        <v>36</v>
      </c>
      <c r="D10" s="7">
        <f>'Contoh Sales Report Cafe'!N10</f>
        <v>685465</v>
      </c>
      <c r="E10" s="7">
        <v>495</v>
      </c>
      <c r="F10" s="7">
        <f t="shared" si="0"/>
        <v>684970</v>
      </c>
      <c r="G10" s="7">
        <f>'Contoh Sales Report Cafe'!O10</f>
        <v>108900</v>
      </c>
      <c r="H10" s="7">
        <v>1416</v>
      </c>
      <c r="I10" s="7">
        <f t="shared" si="1"/>
        <v>107484</v>
      </c>
      <c r="J10" s="7">
        <f>'Contoh Sales Report Cafe'!P10</f>
        <v>1134980</v>
      </c>
      <c r="K10" s="7">
        <v>7945</v>
      </c>
      <c r="L10" s="7">
        <f t="shared" si="2"/>
        <v>1127035</v>
      </c>
      <c r="M10" s="7"/>
      <c r="N10" s="7"/>
      <c r="O10" s="7"/>
      <c r="P10" s="7">
        <f t="shared" si="3"/>
        <v>1929345</v>
      </c>
      <c r="Q10" s="7">
        <f t="shared" si="4"/>
        <v>9856</v>
      </c>
      <c r="R10" s="7">
        <f t="shared" si="5"/>
        <v>1919489</v>
      </c>
    </row>
    <row r="11" spans="1:18" ht="16" customHeight="1" x14ac:dyDescent="0.35">
      <c r="A11" s="6">
        <v>46176</v>
      </c>
      <c r="B11" s="7" t="s">
        <v>45</v>
      </c>
      <c r="C11" s="12" t="s">
        <v>36</v>
      </c>
      <c r="D11" s="7">
        <f>'Contoh Sales Report Cafe'!N11</f>
        <v>1051490</v>
      </c>
      <c r="E11" s="7">
        <v>9485</v>
      </c>
      <c r="F11" s="7">
        <f t="shared" si="0"/>
        <v>1042005</v>
      </c>
      <c r="G11" s="7">
        <f>'Contoh Sales Report Cafe'!O11</f>
        <v>260150</v>
      </c>
      <c r="H11" s="7">
        <v>390</v>
      </c>
      <c r="I11" s="7">
        <f t="shared" si="1"/>
        <v>259760</v>
      </c>
      <c r="J11" s="7">
        <f>'Contoh Sales Report Cafe'!P11</f>
        <v>2012230</v>
      </c>
      <c r="K11" s="7">
        <v>14086</v>
      </c>
      <c r="L11" s="7">
        <f t="shared" si="2"/>
        <v>1998144</v>
      </c>
      <c r="M11" s="7"/>
      <c r="N11" s="7"/>
      <c r="O11" s="7"/>
      <c r="P11" s="7">
        <f t="shared" si="3"/>
        <v>3323870</v>
      </c>
      <c r="Q11" s="7">
        <f t="shared" si="4"/>
        <v>23961</v>
      </c>
      <c r="R11" s="7">
        <f t="shared" si="5"/>
        <v>3299909</v>
      </c>
    </row>
    <row r="12" spans="1:18" ht="16" customHeight="1" x14ac:dyDescent="0.3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ht="16" customHeight="1" x14ac:dyDescent="0.35">
      <c r="A13" s="8"/>
      <c r="B13" s="9" t="s">
        <v>12</v>
      </c>
      <c r="C13" s="9"/>
      <c r="D13" s="9">
        <f>SUM(D6:D12)</f>
        <v>12480187</v>
      </c>
      <c r="E13" s="9">
        <f t="shared" ref="E13:R13" si="6">SUM(E6:E12)</f>
        <v>138614</v>
      </c>
      <c r="F13" s="9">
        <f t="shared" si="6"/>
        <v>12341573</v>
      </c>
      <c r="G13" s="9">
        <f t="shared" si="6"/>
        <v>3562081</v>
      </c>
      <c r="H13" s="9">
        <f t="shared" si="6"/>
        <v>15783</v>
      </c>
      <c r="I13" s="9">
        <f t="shared" si="6"/>
        <v>3546298</v>
      </c>
      <c r="J13" s="9">
        <f t="shared" si="6"/>
        <v>19056950</v>
      </c>
      <c r="K13" s="9">
        <f t="shared" si="6"/>
        <v>133399</v>
      </c>
      <c r="L13" s="9">
        <f t="shared" si="6"/>
        <v>18923551</v>
      </c>
      <c r="M13" s="9">
        <f t="shared" si="6"/>
        <v>0</v>
      </c>
      <c r="N13" s="9">
        <f t="shared" si="6"/>
        <v>0</v>
      </c>
      <c r="O13" s="9">
        <f t="shared" si="6"/>
        <v>0</v>
      </c>
      <c r="P13" s="9">
        <f t="shared" si="6"/>
        <v>35099218</v>
      </c>
      <c r="Q13" s="9">
        <f t="shared" si="6"/>
        <v>287796</v>
      </c>
      <c r="R13" s="9">
        <f t="shared" si="6"/>
        <v>34811422</v>
      </c>
    </row>
    <row r="14" spans="1:18" ht="16" customHeight="1" x14ac:dyDescent="0.35"/>
    <row r="15" spans="1:18" ht="16" customHeight="1" x14ac:dyDescent="0.35"/>
    <row r="16" spans="1:18" ht="16" customHeight="1" x14ac:dyDescent="0.35"/>
    <row r="17" ht="16" customHeight="1" x14ac:dyDescent="0.35"/>
    <row r="18" ht="16" customHeight="1" x14ac:dyDescent="0.35"/>
    <row r="19" ht="16" customHeight="1" x14ac:dyDescent="0.35"/>
    <row r="20" ht="16" customHeight="1" x14ac:dyDescent="0.35"/>
    <row r="21" ht="16" customHeight="1" x14ac:dyDescent="0.35"/>
    <row r="22" ht="16" customHeight="1" x14ac:dyDescent="0.35"/>
    <row r="23" ht="16" customHeight="1" x14ac:dyDescent="0.35"/>
    <row r="24" ht="16" customHeight="1" x14ac:dyDescent="0.35"/>
    <row r="25" ht="16" customHeight="1" x14ac:dyDescent="0.35"/>
    <row r="26" ht="16" customHeight="1" x14ac:dyDescent="0.35"/>
    <row r="27" ht="16" customHeight="1" x14ac:dyDescent="0.35"/>
    <row r="28" ht="16" customHeight="1" x14ac:dyDescent="0.35"/>
    <row r="29" ht="16" customHeight="1" x14ac:dyDescent="0.35"/>
    <row r="30" ht="16" customHeight="1" x14ac:dyDescent="0.35"/>
  </sheetData>
  <mergeCells count="8">
    <mergeCell ref="M4:O4"/>
    <mergeCell ref="P4:R4"/>
    <mergeCell ref="A4:A5"/>
    <mergeCell ref="B4:B5"/>
    <mergeCell ref="D4:F4"/>
    <mergeCell ref="G4:I4"/>
    <mergeCell ref="J4:L4"/>
    <mergeCell ref="C4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43B7-8657-417A-ACFC-CA9C7940C603}">
  <dimension ref="A1:F104"/>
  <sheetViews>
    <sheetView workbookViewId="0">
      <selection activeCell="F10" sqref="F10"/>
    </sheetView>
  </sheetViews>
  <sheetFormatPr defaultRowHeight="14.5" x14ac:dyDescent="0.35"/>
  <cols>
    <col min="1" max="1" width="12.36328125" style="2" customWidth="1"/>
    <col min="2" max="2" width="32" style="3" customWidth="1"/>
    <col min="3" max="3" width="13.7265625" style="13" bestFit="1" customWidth="1"/>
    <col min="4" max="4" width="14.36328125" style="3" bestFit="1" customWidth="1"/>
    <col min="5" max="5" width="12.36328125" style="3" customWidth="1"/>
    <col min="6" max="6" width="15.90625" style="3" bestFit="1" customWidth="1"/>
    <col min="7" max="16384" width="8.7265625" style="3"/>
  </cols>
  <sheetData>
    <row r="1" spans="1:6" x14ac:dyDescent="0.35">
      <c r="A1" s="10" t="s">
        <v>26</v>
      </c>
    </row>
    <row r="2" spans="1:6" x14ac:dyDescent="0.35">
      <c r="A2" s="10" t="s">
        <v>15</v>
      </c>
      <c r="B2" s="11" t="s">
        <v>30</v>
      </c>
      <c r="C2" s="14"/>
    </row>
    <row r="4" spans="1:6" s="1" customFormat="1" ht="40" customHeight="1" x14ac:dyDescent="0.35">
      <c r="A4" s="4" t="s">
        <v>0</v>
      </c>
      <c r="B4" s="5" t="s">
        <v>19</v>
      </c>
      <c r="C4" s="5" t="s">
        <v>24</v>
      </c>
      <c r="D4" s="5" t="s">
        <v>27</v>
      </c>
      <c r="E4" s="5" t="s">
        <v>29</v>
      </c>
      <c r="F4" s="5" t="s">
        <v>28</v>
      </c>
    </row>
    <row r="5" spans="1:6" ht="16" customHeight="1" x14ac:dyDescent="0.35">
      <c r="A5" s="6"/>
      <c r="B5" s="7"/>
      <c r="C5" s="12"/>
      <c r="D5" s="7"/>
      <c r="E5" s="7"/>
      <c r="F5" s="7"/>
    </row>
    <row r="6" spans="1:6" ht="16" customHeight="1" x14ac:dyDescent="0.35">
      <c r="A6" s="6"/>
      <c r="B6" s="7"/>
      <c r="C6" s="12"/>
      <c r="D6" s="7"/>
      <c r="E6" s="7"/>
      <c r="F6" s="7"/>
    </row>
    <row r="7" spans="1:6" ht="16" customHeight="1" x14ac:dyDescent="0.35">
      <c r="A7" s="6"/>
      <c r="B7" s="7"/>
      <c r="C7" s="12"/>
      <c r="D7" s="7"/>
      <c r="E7" s="7"/>
      <c r="F7" s="7"/>
    </row>
    <row r="8" spans="1:6" ht="16" customHeight="1" x14ac:dyDescent="0.35">
      <c r="A8" s="6"/>
      <c r="B8" s="7"/>
      <c r="C8" s="12"/>
      <c r="D8" s="7"/>
      <c r="E8" s="7"/>
      <c r="F8" s="7"/>
    </row>
    <row r="9" spans="1:6" ht="16" customHeight="1" x14ac:dyDescent="0.35">
      <c r="A9" s="6"/>
      <c r="B9" s="7"/>
      <c r="C9" s="12"/>
      <c r="D9" s="7"/>
      <c r="E9" s="7"/>
      <c r="F9" s="7"/>
    </row>
    <row r="10" spans="1:6" ht="16" customHeight="1" x14ac:dyDescent="0.35">
      <c r="A10" s="6"/>
      <c r="B10" s="7"/>
      <c r="C10" s="12"/>
      <c r="D10" s="7"/>
      <c r="E10" s="7"/>
      <c r="F10" s="7"/>
    </row>
    <row r="11" spans="1:6" ht="16" customHeight="1" x14ac:dyDescent="0.35">
      <c r="A11" s="6"/>
      <c r="B11" s="7"/>
      <c r="C11" s="12"/>
      <c r="D11" s="7"/>
      <c r="E11" s="7"/>
      <c r="F11" s="7"/>
    </row>
    <row r="12" spans="1:6" ht="16" customHeight="1" x14ac:dyDescent="0.35">
      <c r="A12" s="6"/>
      <c r="B12" s="7"/>
      <c r="C12" s="12"/>
      <c r="D12" s="7"/>
      <c r="E12" s="7"/>
      <c r="F12" s="7"/>
    </row>
    <row r="13" spans="1:6" ht="16" customHeight="1" x14ac:dyDescent="0.35">
      <c r="A13" s="6"/>
      <c r="B13" s="7"/>
      <c r="C13" s="12"/>
      <c r="D13" s="7"/>
      <c r="E13" s="7"/>
      <c r="F13" s="7"/>
    </row>
    <row r="14" spans="1:6" ht="16" customHeight="1" x14ac:dyDescent="0.35">
      <c r="A14" s="6"/>
      <c r="B14" s="7"/>
      <c r="C14" s="12"/>
      <c r="D14" s="7"/>
      <c r="E14" s="7"/>
      <c r="F14" s="7"/>
    </row>
    <row r="15" spans="1:6" ht="16" customHeight="1" x14ac:dyDescent="0.35">
      <c r="A15" s="6"/>
      <c r="B15" s="7"/>
      <c r="C15" s="12"/>
      <c r="D15" s="7"/>
      <c r="E15" s="7"/>
      <c r="F15" s="7"/>
    </row>
    <row r="16" spans="1:6" ht="16" customHeight="1" x14ac:dyDescent="0.35">
      <c r="A16" s="6"/>
      <c r="B16" s="7"/>
      <c r="C16" s="12"/>
      <c r="D16" s="7"/>
      <c r="E16" s="7"/>
      <c r="F16" s="7"/>
    </row>
    <row r="17" spans="1:6" ht="16" customHeight="1" x14ac:dyDescent="0.35">
      <c r="A17" s="6"/>
      <c r="B17" s="7"/>
      <c r="C17" s="12"/>
      <c r="D17" s="7"/>
      <c r="E17" s="7"/>
      <c r="F17" s="7"/>
    </row>
    <row r="18" spans="1:6" ht="16" customHeight="1" x14ac:dyDescent="0.35">
      <c r="A18" s="6"/>
      <c r="B18" s="7"/>
      <c r="C18" s="12"/>
      <c r="D18" s="7"/>
      <c r="E18" s="7"/>
      <c r="F18" s="7"/>
    </row>
    <row r="19" spans="1:6" ht="16" customHeight="1" x14ac:dyDescent="0.35">
      <c r="A19" s="6"/>
      <c r="B19" s="7"/>
      <c r="C19" s="12"/>
      <c r="D19" s="7"/>
      <c r="E19" s="7"/>
      <c r="F19" s="7"/>
    </row>
    <row r="20" spans="1:6" ht="16" customHeight="1" x14ac:dyDescent="0.35">
      <c r="A20" s="6"/>
      <c r="B20" s="7"/>
      <c r="C20" s="12"/>
      <c r="D20" s="7"/>
      <c r="E20" s="7"/>
      <c r="F20" s="7"/>
    </row>
    <row r="21" spans="1:6" ht="16" customHeight="1" x14ac:dyDescent="0.35">
      <c r="A21" s="6"/>
      <c r="B21" s="7"/>
      <c r="C21" s="12"/>
      <c r="D21" s="7"/>
      <c r="E21" s="7"/>
      <c r="F21" s="7"/>
    </row>
    <row r="22" spans="1:6" ht="16" customHeight="1" x14ac:dyDescent="0.35">
      <c r="A22" s="6"/>
      <c r="B22" s="7"/>
      <c r="C22" s="12"/>
      <c r="D22" s="7"/>
      <c r="E22" s="7"/>
      <c r="F22" s="7"/>
    </row>
    <row r="23" spans="1:6" ht="16" customHeight="1" x14ac:dyDescent="0.35">
      <c r="A23" s="6"/>
      <c r="B23" s="7"/>
      <c r="C23" s="12"/>
      <c r="D23" s="7"/>
      <c r="E23" s="7"/>
      <c r="F23" s="7"/>
    </row>
    <row r="24" spans="1:6" ht="16" customHeight="1" x14ac:dyDescent="0.35">
      <c r="A24" s="6"/>
      <c r="B24" s="7"/>
      <c r="C24" s="12"/>
      <c r="D24" s="7"/>
      <c r="E24" s="7"/>
      <c r="F24" s="7"/>
    </row>
    <row r="25" spans="1:6" ht="16" customHeight="1" x14ac:dyDescent="0.35">
      <c r="A25" s="6"/>
      <c r="B25" s="7"/>
      <c r="C25" s="12"/>
      <c r="D25" s="7"/>
      <c r="E25" s="7"/>
      <c r="F25" s="7"/>
    </row>
    <row r="26" spans="1:6" ht="16" customHeight="1" x14ac:dyDescent="0.35">
      <c r="A26" s="6"/>
      <c r="B26" s="7"/>
      <c r="C26" s="12"/>
      <c r="D26" s="7"/>
      <c r="E26" s="7"/>
      <c r="F26" s="7"/>
    </row>
    <row r="27" spans="1:6" ht="16" customHeight="1" x14ac:dyDescent="0.35">
      <c r="A27" s="6"/>
      <c r="B27" s="7"/>
      <c r="C27" s="12"/>
      <c r="D27" s="7"/>
      <c r="E27" s="7"/>
      <c r="F27" s="7"/>
    </row>
    <row r="28" spans="1:6" ht="16" customHeight="1" x14ac:dyDescent="0.35">
      <c r="A28" s="6"/>
      <c r="B28" s="7"/>
      <c r="C28" s="12"/>
      <c r="D28" s="7"/>
      <c r="E28" s="7"/>
      <c r="F28" s="7"/>
    </row>
    <row r="29" spans="1:6" ht="16" customHeight="1" x14ac:dyDescent="0.35">
      <c r="A29" s="6"/>
      <c r="B29" s="7"/>
      <c r="C29" s="12"/>
      <c r="D29" s="7"/>
      <c r="E29" s="7"/>
      <c r="F29" s="7"/>
    </row>
    <row r="30" spans="1:6" ht="16" customHeight="1" x14ac:dyDescent="0.35">
      <c r="A30" s="6"/>
      <c r="B30" s="7"/>
      <c r="C30" s="12"/>
      <c r="D30" s="7"/>
      <c r="E30" s="7"/>
      <c r="F30" s="7"/>
    </row>
    <row r="31" spans="1:6" ht="16" customHeight="1" x14ac:dyDescent="0.35">
      <c r="A31" s="16"/>
      <c r="B31" s="7"/>
      <c r="C31" s="12"/>
      <c r="D31" s="17"/>
      <c r="E31" s="17"/>
      <c r="F31" s="17"/>
    </row>
    <row r="32" spans="1:6" ht="16" customHeight="1" x14ac:dyDescent="0.35">
      <c r="A32" s="6"/>
      <c r="B32" s="7"/>
      <c r="C32" s="12"/>
      <c r="D32" s="7"/>
      <c r="E32" s="7"/>
      <c r="F32" s="7"/>
    </row>
    <row r="33" spans="1:6" ht="16" customHeight="1" x14ac:dyDescent="0.35">
      <c r="A33" s="6"/>
      <c r="B33" s="7"/>
      <c r="C33" s="12"/>
      <c r="D33" s="7"/>
      <c r="E33" s="7"/>
      <c r="F33" s="7"/>
    </row>
    <row r="34" spans="1:6" ht="16" customHeight="1" x14ac:dyDescent="0.35">
      <c r="A34" s="6"/>
      <c r="B34" s="7"/>
      <c r="C34" s="12"/>
      <c r="D34" s="7"/>
      <c r="E34" s="7"/>
      <c r="F34" s="7"/>
    </row>
    <row r="35" spans="1:6" ht="16" customHeight="1" x14ac:dyDescent="0.35">
      <c r="A35" s="6"/>
      <c r="B35" s="7"/>
      <c r="C35" s="12"/>
      <c r="D35" s="7"/>
      <c r="E35" s="7"/>
      <c r="F35" s="7"/>
    </row>
    <row r="36" spans="1:6" ht="16" customHeight="1" x14ac:dyDescent="0.35">
      <c r="A36" s="6"/>
      <c r="B36" s="7"/>
      <c r="C36" s="12"/>
      <c r="D36" s="7"/>
      <c r="E36" s="7"/>
      <c r="F36" s="7"/>
    </row>
    <row r="37" spans="1:6" ht="16" customHeight="1" x14ac:dyDescent="0.35">
      <c r="A37" s="6"/>
      <c r="B37" s="7"/>
      <c r="C37" s="12"/>
      <c r="D37" s="7"/>
      <c r="E37" s="7"/>
      <c r="F37" s="7"/>
    </row>
    <row r="38" spans="1:6" ht="16" customHeight="1" x14ac:dyDescent="0.35">
      <c r="A38" s="6"/>
      <c r="B38" s="7"/>
      <c r="C38" s="12"/>
      <c r="D38" s="7"/>
      <c r="E38" s="7"/>
      <c r="F38" s="7"/>
    </row>
    <row r="39" spans="1:6" ht="16" customHeight="1" x14ac:dyDescent="0.35">
      <c r="A39" s="6"/>
      <c r="B39" s="7"/>
      <c r="C39" s="12"/>
      <c r="D39" s="7"/>
      <c r="E39" s="7"/>
      <c r="F39" s="7"/>
    </row>
    <row r="40" spans="1:6" ht="16" customHeight="1" x14ac:dyDescent="0.35">
      <c r="A40" s="6"/>
      <c r="B40" s="7"/>
      <c r="C40" s="12"/>
      <c r="D40" s="7"/>
      <c r="E40" s="7"/>
      <c r="F40" s="7"/>
    </row>
    <row r="41" spans="1:6" ht="16" customHeight="1" x14ac:dyDescent="0.35">
      <c r="A41" s="6"/>
      <c r="B41" s="7"/>
      <c r="C41" s="12"/>
      <c r="D41" s="7"/>
      <c r="E41" s="7"/>
      <c r="F41" s="7"/>
    </row>
    <row r="42" spans="1:6" ht="16" customHeight="1" x14ac:dyDescent="0.35">
      <c r="A42" s="6"/>
      <c r="B42" s="7"/>
      <c r="C42" s="12"/>
      <c r="D42" s="7"/>
      <c r="E42" s="7"/>
      <c r="F42" s="7"/>
    </row>
    <row r="43" spans="1:6" ht="16" customHeight="1" x14ac:dyDescent="0.35">
      <c r="A43" s="6"/>
      <c r="B43" s="7"/>
      <c r="C43" s="12"/>
      <c r="D43" s="7"/>
      <c r="E43" s="7"/>
      <c r="F43" s="7"/>
    </row>
    <row r="44" spans="1:6" ht="16" customHeight="1" x14ac:dyDescent="0.35">
      <c r="A44" s="6"/>
      <c r="B44" s="7"/>
      <c r="C44" s="12"/>
      <c r="D44" s="7"/>
      <c r="E44" s="7"/>
      <c r="F44" s="7"/>
    </row>
    <row r="45" spans="1:6" ht="16" customHeight="1" x14ac:dyDescent="0.35">
      <c r="A45" s="6"/>
      <c r="B45" s="7"/>
      <c r="C45" s="12"/>
      <c r="D45" s="7"/>
      <c r="E45" s="7"/>
      <c r="F45" s="7"/>
    </row>
    <row r="46" spans="1:6" ht="16" customHeight="1" x14ac:dyDescent="0.35">
      <c r="A46" s="6"/>
      <c r="B46" s="7"/>
      <c r="C46" s="12"/>
      <c r="D46" s="7"/>
      <c r="E46" s="7"/>
      <c r="F46" s="7"/>
    </row>
    <row r="47" spans="1:6" ht="16" customHeight="1" x14ac:dyDescent="0.35">
      <c r="A47" s="6"/>
      <c r="B47" s="7"/>
      <c r="C47" s="12"/>
      <c r="D47" s="7"/>
      <c r="E47" s="7"/>
      <c r="F47" s="7"/>
    </row>
    <row r="48" spans="1:6" ht="16" customHeight="1" x14ac:dyDescent="0.35">
      <c r="A48" s="6"/>
      <c r="B48" s="7"/>
      <c r="C48" s="12"/>
      <c r="D48" s="7"/>
      <c r="E48" s="7"/>
      <c r="F48" s="7"/>
    </row>
    <row r="49" spans="1:6" x14ac:dyDescent="0.35">
      <c r="A49" s="6"/>
      <c r="B49" s="7"/>
      <c r="C49" s="12"/>
      <c r="D49" s="7"/>
      <c r="E49" s="7"/>
      <c r="F49" s="7"/>
    </row>
    <row r="50" spans="1:6" x14ac:dyDescent="0.35">
      <c r="A50" s="6"/>
      <c r="B50" s="7"/>
      <c r="C50" s="12"/>
      <c r="D50" s="7"/>
      <c r="E50" s="7"/>
      <c r="F50" s="7"/>
    </row>
    <row r="51" spans="1:6" x14ac:dyDescent="0.35">
      <c r="A51" s="6"/>
      <c r="B51" s="7"/>
      <c r="C51" s="12"/>
      <c r="D51" s="7"/>
      <c r="E51" s="7"/>
      <c r="F51" s="7"/>
    </row>
    <row r="52" spans="1:6" x14ac:dyDescent="0.35">
      <c r="A52" s="6"/>
      <c r="B52" s="7"/>
      <c r="C52" s="12"/>
      <c r="D52" s="7"/>
      <c r="E52" s="7"/>
      <c r="F52" s="7"/>
    </row>
    <row r="53" spans="1:6" x14ac:dyDescent="0.35">
      <c r="A53" s="6"/>
      <c r="B53" s="7"/>
      <c r="C53" s="12"/>
      <c r="D53" s="7"/>
      <c r="E53" s="7"/>
      <c r="F53" s="7"/>
    </row>
    <row r="54" spans="1:6" x14ac:dyDescent="0.35">
      <c r="A54" s="6"/>
      <c r="B54" s="7"/>
      <c r="C54" s="12"/>
      <c r="D54" s="7"/>
      <c r="E54" s="7"/>
      <c r="F54" s="7"/>
    </row>
    <row r="55" spans="1:6" x14ac:dyDescent="0.35">
      <c r="A55" s="6"/>
      <c r="B55" s="7"/>
      <c r="C55" s="12"/>
      <c r="D55" s="7"/>
      <c r="E55" s="7"/>
      <c r="F55" s="7"/>
    </row>
    <row r="56" spans="1:6" x14ac:dyDescent="0.35">
      <c r="A56" s="6"/>
      <c r="B56" s="7"/>
      <c r="C56" s="12"/>
      <c r="D56" s="7"/>
      <c r="E56" s="7"/>
      <c r="F56" s="7"/>
    </row>
    <row r="57" spans="1:6" x14ac:dyDescent="0.35">
      <c r="A57" s="6"/>
      <c r="B57" s="7"/>
      <c r="C57" s="12"/>
      <c r="D57" s="7"/>
      <c r="E57" s="7"/>
      <c r="F57" s="7"/>
    </row>
    <row r="58" spans="1:6" x14ac:dyDescent="0.35">
      <c r="A58" s="6"/>
      <c r="B58" s="7"/>
      <c r="C58" s="12"/>
      <c r="D58" s="7"/>
      <c r="E58" s="7"/>
      <c r="F58" s="7"/>
    </row>
    <row r="59" spans="1:6" x14ac:dyDescent="0.35">
      <c r="A59" s="6"/>
      <c r="B59" s="7"/>
      <c r="C59" s="12"/>
      <c r="D59" s="7"/>
      <c r="E59" s="7"/>
      <c r="F59" s="7"/>
    </row>
    <row r="60" spans="1:6" x14ac:dyDescent="0.35">
      <c r="A60" s="6"/>
      <c r="B60" s="7"/>
      <c r="C60" s="12"/>
      <c r="D60" s="7"/>
      <c r="E60" s="7"/>
      <c r="F60" s="7"/>
    </row>
    <row r="61" spans="1:6" x14ac:dyDescent="0.35">
      <c r="A61" s="6"/>
      <c r="B61" s="7"/>
      <c r="C61" s="12"/>
      <c r="D61" s="7"/>
      <c r="E61" s="7"/>
      <c r="F61" s="7"/>
    </row>
    <row r="62" spans="1:6" x14ac:dyDescent="0.35">
      <c r="A62" s="6"/>
      <c r="B62" s="7"/>
      <c r="C62" s="12"/>
      <c r="D62" s="7"/>
      <c r="E62" s="7"/>
      <c r="F62" s="7"/>
    </row>
    <row r="63" spans="1:6" x14ac:dyDescent="0.35">
      <c r="A63" s="6"/>
      <c r="B63" s="7"/>
      <c r="C63" s="12"/>
      <c r="D63" s="7"/>
      <c r="E63" s="7"/>
      <c r="F63" s="7"/>
    </row>
    <row r="64" spans="1:6" x14ac:dyDescent="0.35">
      <c r="A64" s="6"/>
      <c r="B64" s="7"/>
      <c r="C64" s="12"/>
      <c r="D64" s="7"/>
      <c r="E64" s="7"/>
      <c r="F64" s="7"/>
    </row>
    <row r="65" spans="1:6" x14ac:dyDescent="0.35">
      <c r="A65" s="6"/>
      <c r="B65" s="7"/>
      <c r="C65" s="12"/>
      <c r="D65" s="7"/>
      <c r="E65" s="7"/>
      <c r="F65" s="7"/>
    </row>
    <row r="66" spans="1:6" x14ac:dyDescent="0.35">
      <c r="A66" s="6"/>
      <c r="B66" s="7"/>
      <c r="C66" s="12"/>
      <c r="D66" s="7"/>
      <c r="E66" s="7"/>
      <c r="F66" s="7"/>
    </row>
    <row r="67" spans="1:6" x14ac:dyDescent="0.35">
      <c r="A67" s="6"/>
      <c r="B67" s="7"/>
      <c r="C67" s="12"/>
      <c r="D67" s="7"/>
      <c r="E67" s="7"/>
      <c r="F67" s="7"/>
    </row>
    <row r="68" spans="1:6" x14ac:dyDescent="0.35">
      <c r="A68" s="6"/>
      <c r="B68" s="7"/>
      <c r="C68" s="12"/>
      <c r="D68" s="7"/>
      <c r="E68" s="7"/>
      <c r="F68" s="7"/>
    </row>
    <row r="69" spans="1:6" x14ac:dyDescent="0.35">
      <c r="A69" s="6"/>
      <c r="B69" s="7"/>
      <c r="C69" s="12"/>
      <c r="D69" s="7"/>
      <c r="E69" s="7"/>
      <c r="F69" s="7"/>
    </row>
    <row r="70" spans="1:6" x14ac:dyDescent="0.35">
      <c r="A70" s="6"/>
      <c r="B70" s="7"/>
      <c r="C70" s="12"/>
      <c r="D70" s="7"/>
      <c r="E70" s="7"/>
      <c r="F70" s="7"/>
    </row>
    <row r="71" spans="1:6" x14ac:dyDescent="0.35">
      <c r="A71" s="6"/>
      <c r="B71" s="7"/>
      <c r="C71" s="12"/>
      <c r="D71" s="7"/>
      <c r="E71" s="7"/>
      <c r="F71" s="7"/>
    </row>
    <row r="72" spans="1:6" x14ac:dyDescent="0.35">
      <c r="A72" s="6"/>
      <c r="B72" s="7"/>
      <c r="C72" s="12"/>
      <c r="D72" s="7"/>
      <c r="E72" s="7"/>
      <c r="F72" s="7"/>
    </row>
    <row r="73" spans="1:6" x14ac:dyDescent="0.35">
      <c r="A73" s="6"/>
      <c r="B73" s="7"/>
      <c r="C73" s="12"/>
      <c r="D73" s="7"/>
      <c r="E73" s="7"/>
      <c r="F73" s="7"/>
    </row>
    <row r="74" spans="1:6" x14ac:dyDescent="0.35">
      <c r="A74" s="6"/>
      <c r="B74" s="7"/>
      <c r="C74" s="12"/>
      <c r="D74" s="7"/>
      <c r="E74" s="7"/>
      <c r="F74" s="7"/>
    </row>
    <row r="75" spans="1:6" x14ac:dyDescent="0.35">
      <c r="A75" s="6"/>
      <c r="B75" s="7"/>
      <c r="C75" s="12"/>
      <c r="D75" s="7"/>
      <c r="E75" s="7"/>
      <c r="F75" s="7"/>
    </row>
    <row r="76" spans="1:6" x14ac:dyDescent="0.35">
      <c r="A76" s="6"/>
      <c r="B76" s="7"/>
      <c r="C76" s="12"/>
      <c r="D76" s="7"/>
      <c r="E76" s="7"/>
      <c r="F76" s="7"/>
    </row>
    <row r="77" spans="1:6" x14ac:dyDescent="0.35">
      <c r="A77" s="6"/>
      <c r="B77" s="7"/>
      <c r="C77" s="12"/>
      <c r="D77" s="7"/>
      <c r="E77" s="7"/>
      <c r="F77" s="7"/>
    </row>
    <row r="78" spans="1:6" x14ac:dyDescent="0.35">
      <c r="A78" s="6"/>
      <c r="B78" s="7"/>
      <c r="C78" s="12"/>
      <c r="D78" s="7"/>
      <c r="E78" s="7"/>
      <c r="F78" s="7"/>
    </row>
    <row r="79" spans="1:6" x14ac:dyDescent="0.35">
      <c r="A79" s="6"/>
      <c r="B79" s="7"/>
      <c r="C79" s="12"/>
      <c r="D79" s="7"/>
      <c r="E79" s="7"/>
      <c r="F79" s="7"/>
    </row>
    <row r="80" spans="1:6" x14ac:dyDescent="0.35">
      <c r="A80" s="6"/>
      <c r="B80" s="7"/>
      <c r="C80" s="12"/>
      <c r="D80" s="7"/>
      <c r="E80" s="7"/>
      <c r="F80" s="7"/>
    </row>
    <row r="81" spans="1:6" x14ac:dyDescent="0.35">
      <c r="A81" s="6"/>
      <c r="B81" s="7"/>
      <c r="C81" s="12"/>
      <c r="D81" s="7"/>
      <c r="E81" s="7"/>
      <c r="F81" s="7"/>
    </row>
    <row r="82" spans="1:6" x14ac:dyDescent="0.35">
      <c r="A82" s="6"/>
      <c r="B82" s="7"/>
      <c r="C82" s="12"/>
      <c r="D82" s="7"/>
      <c r="E82" s="7"/>
      <c r="F82" s="7"/>
    </row>
    <row r="83" spans="1:6" x14ac:dyDescent="0.35">
      <c r="A83" s="6"/>
      <c r="B83" s="7"/>
      <c r="C83" s="12"/>
      <c r="D83" s="7"/>
      <c r="E83" s="7"/>
      <c r="F83" s="7"/>
    </row>
    <row r="84" spans="1:6" x14ac:dyDescent="0.35">
      <c r="A84" s="6"/>
      <c r="B84" s="7"/>
      <c r="C84" s="12"/>
      <c r="D84" s="7"/>
      <c r="E84" s="7"/>
      <c r="F84" s="7"/>
    </row>
    <row r="85" spans="1:6" x14ac:dyDescent="0.35">
      <c r="A85" s="6"/>
      <c r="B85" s="7"/>
      <c r="C85" s="12"/>
      <c r="D85" s="7"/>
      <c r="E85" s="7"/>
      <c r="F85" s="7"/>
    </row>
    <row r="86" spans="1:6" x14ac:dyDescent="0.35">
      <c r="A86" s="6"/>
      <c r="B86" s="7"/>
      <c r="C86" s="12"/>
      <c r="D86" s="7"/>
      <c r="E86" s="7"/>
      <c r="F86" s="7"/>
    </row>
    <row r="87" spans="1:6" x14ac:dyDescent="0.35">
      <c r="A87" s="6"/>
      <c r="B87" s="7"/>
      <c r="C87" s="12"/>
      <c r="D87" s="7"/>
      <c r="E87" s="7"/>
      <c r="F87" s="7"/>
    </row>
    <row r="88" spans="1:6" x14ac:dyDescent="0.35">
      <c r="A88" s="6"/>
      <c r="B88" s="7"/>
      <c r="C88" s="12"/>
      <c r="D88" s="7"/>
      <c r="E88" s="7"/>
      <c r="F88" s="7"/>
    </row>
    <row r="89" spans="1:6" x14ac:dyDescent="0.35">
      <c r="A89" s="6"/>
      <c r="B89" s="7"/>
      <c r="C89" s="12"/>
      <c r="D89" s="7"/>
      <c r="E89" s="7"/>
      <c r="F89" s="7"/>
    </row>
    <row r="90" spans="1:6" x14ac:dyDescent="0.35">
      <c r="A90" s="6"/>
      <c r="B90" s="7"/>
      <c r="C90" s="12"/>
      <c r="D90" s="7"/>
      <c r="E90" s="7"/>
      <c r="F90" s="7"/>
    </row>
    <row r="91" spans="1:6" x14ac:dyDescent="0.35">
      <c r="A91" s="6"/>
      <c r="B91" s="7"/>
      <c r="C91" s="12"/>
      <c r="D91" s="7"/>
      <c r="E91" s="7"/>
      <c r="F91" s="7"/>
    </row>
    <row r="92" spans="1:6" x14ac:dyDescent="0.35">
      <c r="A92" s="6"/>
      <c r="B92" s="7"/>
      <c r="C92" s="12"/>
      <c r="D92" s="7"/>
      <c r="E92" s="7"/>
      <c r="F92" s="7"/>
    </row>
    <row r="93" spans="1:6" x14ac:dyDescent="0.35">
      <c r="A93" s="6"/>
      <c r="B93" s="7"/>
      <c r="C93" s="12"/>
      <c r="D93" s="7"/>
      <c r="E93" s="7"/>
      <c r="F93" s="7"/>
    </row>
    <row r="94" spans="1:6" x14ac:dyDescent="0.35">
      <c r="A94" s="6"/>
      <c r="B94" s="7"/>
      <c r="C94" s="12"/>
      <c r="D94" s="7"/>
      <c r="E94" s="7"/>
      <c r="F94" s="7"/>
    </row>
    <row r="95" spans="1:6" x14ac:dyDescent="0.35">
      <c r="A95" s="6"/>
      <c r="B95" s="7"/>
      <c r="C95" s="12"/>
      <c r="D95" s="7"/>
      <c r="E95" s="7"/>
      <c r="F95" s="7"/>
    </row>
    <row r="96" spans="1:6" x14ac:dyDescent="0.35">
      <c r="A96" s="6"/>
      <c r="B96" s="7"/>
      <c r="C96" s="12"/>
      <c r="D96" s="7"/>
      <c r="E96" s="7"/>
      <c r="F96" s="7"/>
    </row>
    <row r="97" spans="1:6" x14ac:dyDescent="0.35">
      <c r="A97" s="6"/>
      <c r="B97" s="7"/>
      <c r="C97" s="12"/>
      <c r="D97" s="7"/>
      <c r="E97" s="7"/>
      <c r="F97" s="7"/>
    </row>
    <row r="98" spans="1:6" x14ac:dyDescent="0.35">
      <c r="A98" s="6"/>
      <c r="B98" s="7"/>
      <c r="C98" s="12"/>
      <c r="D98" s="7"/>
      <c r="E98" s="7"/>
      <c r="F98" s="7"/>
    </row>
    <row r="99" spans="1:6" x14ac:dyDescent="0.35">
      <c r="A99" s="6"/>
      <c r="B99" s="7"/>
      <c r="C99" s="12"/>
      <c r="D99" s="7"/>
      <c r="E99" s="7"/>
      <c r="F99" s="7"/>
    </row>
    <row r="100" spans="1:6" x14ac:dyDescent="0.35">
      <c r="A100" s="6"/>
      <c r="B100" s="7"/>
      <c r="C100" s="12"/>
      <c r="D100" s="7"/>
      <c r="E100" s="7"/>
      <c r="F100" s="7"/>
    </row>
    <row r="101" spans="1:6" x14ac:dyDescent="0.35">
      <c r="A101" s="6"/>
      <c r="B101" s="7"/>
      <c r="C101" s="12"/>
      <c r="D101" s="7"/>
      <c r="E101" s="7"/>
      <c r="F101" s="7"/>
    </row>
    <row r="102" spans="1:6" x14ac:dyDescent="0.35">
      <c r="A102" s="6"/>
      <c r="B102" s="7"/>
      <c r="C102" s="12"/>
      <c r="D102" s="7"/>
      <c r="E102" s="7"/>
      <c r="F102" s="7"/>
    </row>
    <row r="103" spans="1:6" x14ac:dyDescent="0.35">
      <c r="A103" s="6"/>
      <c r="B103" s="7"/>
      <c r="C103" s="12"/>
      <c r="D103" s="7"/>
      <c r="E103" s="7"/>
      <c r="F103" s="7"/>
    </row>
    <row r="104" spans="1:6" x14ac:dyDescent="0.35">
      <c r="A104" s="6"/>
      <c r="B104" s="7"/>
      <c r="C104" s="12"/>
      <c r="D104" s="7"/>
      <c r="E104" s="7"/>
      <c r="F10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Contoh Sales Report Walk In</vt:lpstr>
      <vt:lpstr>Contoh Sales Report Cafe</vt:lpstr>
      <vt:lpstr>Contoh Merchant Report</vt:lpstr>
      <vt:lpstr>Contoh Discount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Citra Satwika Amelia</dc:creator>
  <cp:lastModifiedBy>Citra Satwika Amelia</cp:lastModifiedBy>
  <dcterms:created xsi:type="dcterms:W3CDTF">2026-07-25T06:42:56Z</dcterms:created>
  <dcterms:modified xsi:type="dcterms:W3CDTF">2026-08-08T06:30:12Z</dcterms:modified>
</cp:coreProperties>
</file>
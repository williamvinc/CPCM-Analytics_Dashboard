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ra\Documents\"/>
    </mc:Choice>
  </mc:AlternateContent>
  <xr:revisionPtr revIDLastSave="0" documentId="13_ncr:1_{FD151DE6-8E8D-4CC8-B9AD-27809BE2BF66}" xr6:coauthVersionLast="47" xr6:coauthVersionMax="47" xr10:uidLastSave="{00000000-0000-0000-0000-000000000000}"/>
  <bookViews>
    <workbookView xWindow="-110" yWindow="-110" windowWidth="19420" windowHeight="10300" xr2:uid="{3A306119-0378-42B3-9BAC-D1994FCF8DA9}"/>
  </bookViews>
  <sheets>
    <sheet name="Contoh Sales Report" sheetId="1" r:id="rId1"/>
    <sheet name="Contoh Discount Report" sheetId="3" r:id="rId2"/>
    <sheet name="Contoh Merchant Repo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2" l="1"/>
  <c r="O8" i="2"/>
  <c r="O6" i="2"/>
  <c r="L7" i="2"/>
  <c r="L8" i="2"/>
  <c r="L6" i="2"/>
  <c r="I7" i="2"/>
  <c r="I8" i="2"/>
  <c r="I6" i="2"/>
  <c r="F7" i="2"/>
  <c r="R7" i="2" s="1"/>
  <c r="F8" i="2"/>
  <c r="F6" i="2"/>
  <c r="Q7" i="2"/>
  <c r="Q8" i="2"/>
  <c r="P7" i="2"/>
  <c r="P8" i="2"/>
  <c r="Q6" i="2"/>
  <c r="P6" i="2"/>
  <c r="E11" i="2"/>
  <c r="F11" i="2"/>
  <c r="G11" i="2"/>
  <c r="H11" i="2"/>
  <c r="I11" i="2"/>
  <c r="J11" i="2"/>
  <c r="K11" i="2"/>
  <c r="L11" i="2"/>
  <c r="M11" i="2"/>
  <c r="N11" i="2"/>
  <c r="D11" i="2"/>
  <c r="D11" i="1"/>
  <c r="E11" i="1"/>
  <c r="F11" i="1"/>
  <c r="G11" i="1"/>
  <c r="H11" i="1"/>
  <c r="I11" i="1"/>
  <c r="J11" i="1"/>
  <c r="K11" i="1"/>
  <c r="L11" i="1"/>
  <c r="M11" i="1"/>
  <c r="N7" i="1"/>
  <c r="N8" i="1"/>
  <c r="O8" i="1" s="1"/>
  <c r="O11" i="1" s="1"/>
  <c r="N6" i="1"/>
  <c r="O7" i="1"/>
  <c r="O6" i="1"/>
  <c r="R8" i="2" l="1"/>
  <c r="R6" i="2"/>
  <c r="P11" i="2"/>
  <c r="N11" i="1"/>
  <c r="O11" i="2"/>
  <c r="Q11" i="2"/>
  <c r="R11" i="2"/>
</calcChain>
</file>

<file path=xl/sharedStrings.xml><?xml version="1.0" encoding="utf-8"?>
<sst xmlns="http://schemas.openxmlformats.org/spreadsheetml/2006/main" count="441" uniqueCount="137">
  <si>
    <t>Date</t>
  </si>
  <si>
    <t>Gross Amount Excl.</t>
  </si>
  <si>
    <t>Discount</t>
  </si>
  <si>
    <t>Net Sales</t>
  </si>
  <si>
    <t>Tax</t>
  </si>
  <si>
    <t>Charge</t>
  </si>
  <si>
    <t>Gross Sales (All incl)</t>
  </si>
  <si>
    <t>BCA</t>
  </si>
  <si>
    <t>BRI</t>
  </si>
  <si>
    <t>Nusapay</t>
  </si>
  <si>
    <t>Deposit</t>
  </si>
  <si>
    <t>Total</t>
  </si>
  <si>
    <t>Nickelodeon Playtime Senayan Park</t>
  </si>
  <si>
    <t>TOTAL</t>
  </si>
  <si>
    <t>POS</t>
  </si>
  <si>
    <t>01/06/2026 - 03/06/2026</t>
  </si>
  <si>
    <t>Periode :</t>
  </si>
  <si>
    <t>MDR</t>
  </si>
  <si>
    <t>Net Amount</t>
  </si>
  <si>
    <t>Amont Transaction</t>
  </si>
  <si>
    <t>Store</t>
  </si>
  <si>
    <t>Diff</t>
  </si>
  <si>
    <t>NUSAPAY</t>
  </si>
  <si>
    <t>DEPOSIT</t>
  </si>
  <si>
    <t>DAILY SALES REPORT</t>
  </si>
  <si>
    <t>Platform</t>
  </si>
  <si>
    <t>Walk In Ticket</t>
  </si>
  <si>
    <t>DISCOUNT REPORT</t>
  </si>
  <si>
    <t>No. Bill</t>
  </si>
  <si>
    <t>Remark</t>
  </si>
  <si>
    <t>Total Discount</t>
  </si>
  <si>
    <t>POS002/11847</t>
  </si>
  <si>
    <t>POS002/11848</t>
  </si>
  <si>
    <t>POS002/11849</t>
  </si>
  <si>
    <t>POS002/11850</t>
  </si>
  <si>
    <t>POS002/11853</t>
  </si>
  <si>
    <t>POS002/11854</t>
  </si>
  <si>
    <t>POS002/11855</t>
  </si>
  <si>
    <t>POS002/11856</t>
  </si>
  <si>
    <t>POS002/11857</t>
  </si>
  <si>
    <t>POS002/11858</t>
  </si>
  <si>
    <t>POS002/11860</t>
  </si>
  <si>
    <t>POS002/11861</t>
  </si>
  <si>
    <t>POS002/11862</t>
  </si>
  <si>
    <t>POS002/11863</t>
  </si>
  <si>
    <t>POS002/11864</t>
  </si>
  <si>
    <t>POS002/11865</t>
  </si>
  <si>
    <t>POS002/11867</t>
  </si>
  <si>
    <t>POS002/11868</t>
  </si>
  <si>
    <t>POS002/11869</t>
  </si>
  <si>
    <t>POS002/11870</t>
  </si>
  <si>
    <t>POS002/11871</t>
  </si>
  <si>
    <t>POS002/11872</t>
  </si>
  <si>
    <t>POS002/11873</t>
  </si>
  <si>
    <t>POS002/11877</t>
  </si>
  <si>
    <t>POS002/11880</t>
  </si>
  <si>
    <t>POS002/11881</t>
  </si>
  <si>
    <t>POS002/11882</t>
  </si>
  <si>
    <t>POS002/11883</t>
  </si>
  <si>
    <t>POS002/11884</t>
  </si>
  <si>
    <t>POS002/11885</t>
  </si>
  <si>
    <t>POS002/11886</t>
  </si>
  <si>
    <t>POS002/11889</t>
  </si>
  <si>
    <t>POS002/11890</t>
  </si>
  <si>
    <t>POS002/11891</t>
  </si>
  <si>
    <t>POS002/11892</t>
  </si>
  <si>
    <t>POS002/11893</t>
  </si>
  <si>
    <t>POS002/11894</t>
  </si>
  <si>
    <t>POS002/11895</t>
  </si>
  <si>
    <t>POS002/11896</t>
  </si>
  <si>
    <t>POS002/11897</t>
  </si>
  <si>
    <t>POS002/11899</t>
  </si>
  <si>
    <t>POS002/11900</t>
  </si>
  <si>
    <t>POS002/11901</t>
  </si>
  <si>
    <t>POS002/11902</t>
  </si>
  <si>
    <t>POS002/11903</t>
  </si>
  <si>
    <t>POS002/11904</t>
  </si>
  <si>
    <t>POS002/11906</t>
  </si>
  <si>
    <t>POS002/11909</t>
  </si>
  <si>
    <t>POS002/11911</t>
  </si>
  <si>
    <t>POS002/11914</t>
  </si>
  <si>
    <t>POS002/11917</t>
  </si>
  <si>
    <t>POS002/11919</t>
  </si>
  <si>
    <t>POS002/11920</t>
  </si>
  <si>
    <t>POS002/11921</t>
  </si>
  <si>
    <t>POS002/11923</t>
  </si>
  <si>
    <t>POS002/11924</t>
  </si>
  <si>
    <t>POS002/11926</t>
  </si>
  <si>
    <t>POS002/11927</t>
  </si>
  <si>
    <t>POS002/11928</t>
  </si>
  <si>
    <t>POS002/11929</t>
  </si>
  <si>
    <t>POS002/11931</t>
  </si>
  <si>
    <t>POS002/11933</t>
  </si>
  <si>
    <t>POS002/11934</t>
  </si>
  <si>
    <t>POS003/10157</t>
  </si>
  <si>
    <t>POS003/10159</t>
  </si>
  <si>
    <t>POS003/10160</t>
  </si>
  <si>
    <t>POS003/10161</t>
  </si>
  <si>
    <t>POS003/10162</t>
  </si>
  <si>
    <t>POS003/10163</t>
  </si>
  <si>
    <t>POS003/10164</t>
  </si>
  <si>
    <t>POS003/10165</t>
  </si>
  <si>
    <t>POS003/10167</t>
  </si>
  <si>
    <t>POS003/10168</t>
  </si>
  <si>
    <t>POS003/10169</t>
  </si>
  <si>
    <t>POS003/10170</t>
  </si>
  <si>
    <t>POS003/10171</t>
  </si>
  <si>
    <t>POS003/10172</t>
  </si>
  <si>
    <t>POS003/10178</t>
  </si>
  <si>
    <t>POS003/10179</t>
  </si>
  <si>
    <t>POS003/10180</t>
  </si>
  <si>
    <t>POS003/10181</t>
  </si>
  <si>
    <t>POS003/10183</t>
  </si>
  <si>
    <t>POS003/10185</t>
  </si>
  <si>
    <t>POS002/11852</t>
  </si>
  <si>
    <t>POS002/11859</t>
  </si>
  <si>
    <t>POS002/11875</t>
  </si>
  <si>
    <t>POS002/11879</t>
  </si>
  <si>
    <t>POS002/11887</t>
  </si>
  <si>
    <t>POS002/11888</t>
  </si>
  <si>
    <t>POS002/11898</t>
  </si>
  <si>
    <t>POS002/11918</t>
  </si>
  <si>
    <t>POS003/10175</t>
  </si>
  <si>
    <t>POS003/10177</t>
  </si>
  <si>
    <t>diskon ny.puff</t>
  </si>
  <si>
    <t>DISKON NY.PUFF</t>
  </si>
  <si>
    <t>DISKON NY PUFF</t>
  </si>
  <si>
    <t>DISC NY PUFF</t>
  </si>
  <si>
    <t>DIC NY PUFF</t>
  </si>
  <si>
    <t>DISC NY PUF</t>
  </si>
  <si>
    <t/>
  </si>
  <si>
    <t>NY PUFF</t>
  </si>
  <si>
    <t>NY PUFF DISC</t>
  </si>
  <si>
    <t>disc ny puff</t>
  </si>
  <si>
    <t>01/06/2026 - 01/06/2026</t>
  </si>
  <si>
    <t>Payment Method / Merchant Report</t>
  </si>
  <si>
    <t xml:space="preserve">MERCHANT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</si>
</sst>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64" fontId="2" fillId="0" borderId="0" xfId="1" applyNumberFormat="1" applyFont="1" applyAlignment="1">
      <alignment horizontal="center" vertical="center" wrapText="1"/>
    </xf>
    <xf numFmtId="14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4" fontId="0" fillId="0" borderId="1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4" fontId="2" fillId="3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vertical="center"/>
    </xf>
    <xf numFmtId="14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4" fontId="1" fillId="0" borderId="1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4DD6-148F-4AEB-AB4F-FBCC8F8248AE}">
  <dimension ref="A1:O28"/>
  <sheetViews>
    <sheetView tabSelected="1" workbookViewId="0">
      <selection activeCell="D11" sqref="D11"/>
    </sheetView>
  </sheetViews>
  <sheetFormatPr defaultRowHeight="14.5" x14ac:dyDescent="0.35"/>
  <cols>
    <col min="1" max="1" width="12.36328125" style="2" customWidth="1"/>
    <col min="2" max="2" width="32" style="3" customWidth="1"/>
    <col min="3" max="3" width="13.7265625" style="13" bestFit="1" customWidth="1"/>
    <col min="4" max="15" width="12.36328125" style="3" customWidth="1"/>
    <col min="16" max="16384" width="8.7265625" style="3"/>
  </cols>
  <sheetData>
    <row r="1" spans="1:15" x14ac:dyDescent="0.35">
      <c r="A1" s="10" t="s">
        <v>24</v>
      </c>
    </row>
    <row r="2" spans="1:15" x14ac:dyDescent="0.35">
      <c r="A2" s="10" t="s">
        <v>16</v>
      </c>
      <c r="B2" s="11" t="s">
        <v>15</v>
      </c>
      <c r="C2" s="14"/>
    </row>
    <row r="4" spans="1:15" x14ac:dyDescent="0.35">
      <c r="D4" s="18" t="s">
        <v>14</v>
      </c>
      <c r="E4" s="18"/>
      <c r="F4" s="18"/>
      <c r="G4" s="18"/>
      <c r="H4" s="18"/>
      <c r="I4" s="18"/>
      <c r="J4" s="18" t="s">
        <v>135</v>
      </c>
      <c r="K4" s="18"/>
      <c r="L4" s="18"/>
      <c r="M4" s="18"/>
      <c r="N4" s="18"/>
    </row>
    <row r="5" spans="1:15" s="1" customFormat="1" ht="40" customHeight="1" x14ac:dyDescent="0.35">
      <c r="A5" s="4" t="s">
        <v>0</v>
      </c>
      <c r="B5" s="5" t="s">
        <v>20</v>
      </c>
      <c r="C5" s="5" t="s">
        <v>25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5</v>
      </c>
      <c r="I5" s="5" t="s">
        <v>6</v>
      </c>
      <c r="J5" s="5" t="s">
        <v>8</v>
      </c>
      <c r="K5" s="5" t="s">
        <v>7</v>
      </c>
      <c r="L5" s="5" t="s">
        <v>9</v>
      </c>
      <c r="M5" s="5" t="s">
        <v>10</v>
      </c>
      <c r="N5" s="5" t="s">
        <v>11</v>
      </c>
      <c r="O5" s="5" t="s">
        <v>21</v>
      </c>
    </row>
    <row r="6" spans="1:15" ht="16" customHeight="1" x14ac:dyDescent="0.35">
      <c r="A6" s="6">
        <v>46174</v>
      </c>
      <c r="B6" s="7" t="s">
        <v>12</v>
      </c>
      <c r="C6" s="12" t="s">
        <v>26</v>
      </c>
      <c r="D6" s="7">
        <v>54781827</v>
      </c>
      <c r="E6" s="7">
        <v>24386367</v>
      </c>
      <c r="F6" s="7">
        <v>30395460</v>
      </c>
      <c r="G6" s="7">
        <v>3039540</v>
      </c>
      <c r="H6" s="7">
        <v>0</v>
      </c>
      <c r="I6" s="7">
        <v>33435000</v>
      </c>
      <c r="J6" s="7">
        <v>20920000</v>
      </c>
      <c r="K6" s="7">
        <v>15410000</v>
      </c>
      <c r="L6" s="7">
        <v>10335000</v>
      </c>
      <c r="M6" s="7">
        <v>0</v>
      </c>
      <c r="N6" s="7">
        <f>SUM(J6:M6)</f>
        <v>46665000</v>
      </c>
      <c r="O6" s="7">
        <f>I6-N6</f>
        <v>-13230000</v>
      </c>
    </row>
    <row r="7" spans="1:15" ht="16" customHeight="1" x14ac:dyDescent="0.35">
      <c r="A7" s="6">
        <v>46175</v>
      </c>
      <c r="B7" s="7" t="s">
        <v>12</v>
      </c>
      <c r="C7" s="12" t="s">
        <v>26</v>
      </c>
      <c r="D7" s="7">
        <v>8200002</v>
      </c>
      <c r="E7" s="7">
        <v>3659092</v>
      </c>
      <c r="F7" s="7">
        <v>4540910</v>
      </c>
      <c r="G7" s="7">
        <v>454090</v>
      </c>
      <c r="H7" s="7">
        <v>0</v>
      </c>
      <c r="I7" s="7">
        <v>4995000</v>
      </c>
      <c r="J7" s="7">
        <v>1290000</v>
      </c>
      <c r="K7" s="7">
        <v>3070000</v>
      </c>
      <c r="L7" s="7">
        <v>635000</v>
      </c>
      <c r="M7" s="7">
        <v>0</v>
      </c>
      <c r="N7" s="7">
        <f t="shared" ref="N7:N8" si="0">SUM(J7:M7)</f>
        <v>4995000</v>
      </c>
      <c r="O7" s="7">
        <f>I7-N7</f>
        <v>0</v>
      </c>
    </row>
    <row r="8" spans="1:15" ht="16" customHeight="1" x14ac:dyDescent="0.35">
      <c r="A8" s="6">
        <v>46176</v>
      </c>
      <c r="B8" s="7" t="s">
        <v>12</v>
      </c>
      <c r="C8" s="12" t="s">
        <v>26</v>
      </c>
      <c r="D8" s="7">
        <v>11445457</v>
      </c>
      <c r="E8" s="7">
        <v>5022728</v>
      </c>
      <c r="F8" s="7">
        <v>6422729</v>
      </c>
      <c r="G8" s="7">
        <v>642271</v>
      </c>
      <c r="H8" s="7">
        <v>0</v>
      </c>
      <c r="I8" s="7">
        <v>7065000</v>
      </c>
      <c r="J8" s="7">
        <v>1745000</v>
      </c>
      <c r="K8" s="7">
        <v>3085000</v>
      </c>
      <c r="L8" s="7">
        <v>2235000</v>
      </c>
      <c r="M8" s="7">
        <v>0</v>
      </c>
      <c r="N8" s="7">
        <f t="shared" si="0"/>
        <v>7065000</v>
      </c>
      <c r="O8" s="7">
        <f>I8-N8</f>
        <v>0</v>
      </c>
    </row>
    <row r="9" spans="1:15" ht="16" customHeight="1" x14ac:dyDescent="0.35">
      <c r="A9" s="6"/>
      <c r="B9" s="7"/>
      <c r="C9" s="12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6" customHeight="1" x14ac:dyDescent="0.35">
      <c r="A10" s="6"/>
      <c r="B10" s="7"/>
      <c r="C10" s="12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6" customHeight="1" x14ac:dyDescent="0.35">
      <c r="A11" s="8"/>
      <c r="B11" s="9" t="s">
        <v>13</v>
      </c>
      <c r="C11" s="15"/>
      <c r="D11" s="9">
        <f t="shared" ref="D11:O11" si="1">SUM(D6:D10)</f>
        <v>74427286</v>
      </c>
      <c r="E11" s="9">
        <f t="shared" si="1"/>
        <v>33068187</v>
      </c>
      <c r="F11" s="9">
        <f t="shared" si="1"/>
        <v>41359099</v>
      </c>
      <c r="G11" s="9">
        <f t="shared" si="1"/>
        <v>4135901</v>
      </c>
      <c r="H11" s="9">
        <f t="shared" si="1"/>
        <v>0</v>
      </c>
      <c r="I11" s="9">
        <f t="shared" si="1"/>
        <v>45495000</v>
      </c>
      <c r="J11" s="9">
        <f t="shared" si="1"/>
        <v>23955000</v>
      </c>
      <c r="K11" s="9">
        <f t="shared" si="1"/>
        <v>21565000</v>
      </c>
      <c r="L11" s="9">
        <f t="shared" si="1"/>
        <v>13205000</v>
      </c>
      <c r="M11" s="9">
        <f t="shared" si="1"/>
        <v>0</v>
      </c>
      <c r="N11" s="9">
        <f t="shared" si="1"/>
        <v>58725000</v>
      </c>
      <c r="O11" s="9">
        <f t="shared" si="1"/>
        <v>-13230000</v>
      </c>
    </row>
    <row r="12" spans="1:15" ht="16" customHeight="1" x14ac:dyDescent="0.35"/>
    <row r="13" spans="1:15" ht="16" customHeight="1" x14ac:dyDescent="0.35"/>
    <row r="14" spans="1:15" ht="16" customHeight="1" x14ac:dyDescent="0.35"/>
    <row r="15" spans="1:15" ht="16" customHeight="1" x14ac:dyDescent="0.35"/>
    <row r="16" spans="1:15" ht="16" customHeight="1" x14ac:dyDescent="0.35"/>
    <row r="17" ht="16" customHeight="1" x14ac:dyDescent="0.35"/>
    <row r="18" ht="16" customHeight="1" x14ac:dyDescent="0.35"/>
    <row r="19" ht="16" customHeight="1" x14ac:dyDescent="0.35"/>
    <row r="20" ht="16" customHeight="1" x14ac:dyDescent="0.35"/>
    <row r="21" ht="16" customHeight="1" x14ac:dyDescent="0.35"/>
    <row r="22" ht="16" customHeight="1" x14ac:dyDescent="0.35"/>
    <row r="23" ht="16" customHeight="1" x14ac:dyDescent="0.35"/>
    <row r="24" ht="16" customHeight="1" x14ac:dyDescent="0.35"/>
    <row r="25" ht="16" customHeight="1" x14ac:dyDescent="0.35"/>
    <row r="26" ht="16" customHeight="1" x14ac:dyDescent="0.35"/>
    <row r="27" ht="16" customHeight="1" x14ac:dyDescent="0.35"/>
    <row r="28" ht="16" customHeight="1" x14ac:dyDescent="0.35"/>
  </sheetData>
  <mergeCells count="2">
    <mergeCell ref="D4:I4"/>
    <mergeCell ref="J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43B7-8657-417A-ACFC-CA9C7940C603}">
  <dimension ref="A1:F104"/>
  <sheetViews>
    <sheetView workbookViewId="0">
      <selection activeCell="E6" sqref="E6"/>
    </sheetView>
  </sheetViews>
  <sheetFormatPr defaultRowHeight="14.5" x14ac:dyDescent="0.35"/>
  <cols>
    <col min="1" max="1" width="12.36328125" style="2" customWidth="1"/>
    <col min="2" max="2" width="32" style="3" customWidth="1"/>
    <col min="3" max="3" width="13.7265625" style="13" bestFit="1" customWidth="1"/>
    <col min="4" max="4" width="14.36328125" style="3" bestFit="1" customWidth="1"/>
    <col min="5" max="5" width="12.36328125" style="3" customWidth="1"/>
    <col min="6" max="6" width="15.90625" style="3" bestFit="1" customWidth="1"/>
    <col min="7" max="16384" width="8.7265625" style="3"/>
  </cols>
  <sheetData>
    <row r="1" spans="1:6" x14ac:dyDescent="0.35">
      <c r="A1" s="10" t="s">
        <v>27</v>
      </c>
    </row>
    <row r="2" spans="1:6" x14ac:dyDescent="0.35">
      <c r="A2" s="10" t="s">
        <v>16</v>
      </c>
      <c r="B2" s="11" t="s">
        <v>134</v>
      </c>
      <c r="C2" s="14"/>
    </row>
    <row r="4" spans="1:6" s="1" customFormat="1" ht="40" customHeight="1" x14ac:dyDescent="0.35">
      <c r="A4" s="4" t="s">
        <v>0</v>
      </c>
      <c r="B4" s="5" t="s">
        <v>20</v>
      </c>
      <c r="C4" s="5" t="s">
        <v>25</v>
      </c>
      <c r="D4" s="5" t="s">
        <v>28</v>
      </c>
      <c r="E4" s="5" t="s">
        <v>30</v>
      </c>
      <c r="F4" s="5" t="s">
        <v>29</v>
      </c>
    </row>
    <row r="5" spans="1:6" ht="16" customHeight="1" x14ac:dyDescent="0.35">
      <c r="A5" s="6">
        <v>46174</v>
      </c>
      <c r="B5" s="7" t="s">
        <v>12</v>
      </c>
      <c r="C5" s="12" t="s">
        <v>26</v>
      </c>
      <c r="D5" s="7" t="s">
        <v>31</v>
      </c>
      <c r="E5" s="7">
        <v>699999.3</v>
      </c>
      <c r="F5" s="7" t="s">
        <v>124</v>
      </c>
    </row>
    <row r="6" spans="1:6" ht="16" customHeight="1" x14ac:dyDescent="0.35">
      <c r="A6" s="6">
        <v>46174</v>
      </c>
      <c r="B6" s="7" t="s">
        <v>12</v>
      </c>
      <c r="C6" s="12" t="s">
        <v>26</v>
      </c>
      <c r="D6" s="7" t="s">
        <v>32</v>
      </c>
      <c r="E6" s="7">
        <v>350000.2</v>
      </c>
      <c r="F6" s="7" t="s">
        <v>125</v>
      </c>
    </row>
    <row r="7" spans="1:6" ht="16" customHeight="1" x14ac:dyDescent="0.35">
      <c r="A7" s="6">
        <v>46174</v>
      </c>
      <c r="B7" s="7" t="s">
        <v>12</v>
      </c>
      <c r="C7" s="12" t="s">
        <v>26</v>
      </c>
      <c r="D7" s="7" t="s">
        <v>33</v>
      </c>
      <c r="E7" s="7">
        <v>699999.3</v>
      </c>
      <c r="F7" s="7" t="s">
        <v>126</v>
      </c>
    </row>
    <row r="8" spans="1:6" ht="16" customHeight="1" x14ac:dyDescent="0.35">
      <c r="A8" s="6">
        <v>46174</v>
      </c>
      <c r="B8" s="7" t="s">
        <v>12</v>
      </c>
      <c r="C8" s="12" t="s">
        <v>26</v>
      </c>
      <c r="D8" s="7" t="s">
        <v>34</v>
      </c>
      <c r="E8" s="7">
        <v>350000.2</v>
      </c>
      <c r="F8" s="7" t="s">
        <v>127</v>
      </c>
    </row>
    <row r="9" spans="1:6" ht="16" customHeight="1" x14ac:dyDescent="0.35">
      <c r="A9" s="6">
        <v>46174</v>
      </c>
      <c r="B9" s="7" t="s">
        <v>12</v>
      </c>
      <c r="C9" s="12" t="s">
        <v>26</v>
      </c>
      <c r="D9" s="7" t="s">
        <v>35</v>
      </c>
      <c r="E9" s="7">
        <v>524999.20000000007</v>
      </c>
      <c r="F9" s="7" t="s">
        <v>128</v>
      </c>
    </row>
    <row r="10" spans="1:6" ht="16" customHeight="1" x14ac:dyDescent="0.35">
      <c r="A10" s="6">
        <v>46174</v>
      </c>
      <c r="B10" s="7" t="s">
        <v>12</v>
      </c>
      <c r="C10" s="12" t="s">
        <v>26</v>
      </c>
      <c r="D10" s="7" t="s">
        <v>36</v>
      </c>
      <c r="E10" s="7">
        <v>175000.1</v>
      </c>
      <c r="F10" s="7" t="s">
        <v>127</v>
      </c>
    </row>
    <row r="11" spans="1:6" ht="16" customHeight="1" x14ac:dyDescent="0.35">
      <c r="A11" s="6">
        <v>46174</v>
      </c>
      <c r="B11" s="7" t="s">
        <v>12</v>
      </c>
      <c r="C11" s="12" t="s">
        <v>26</v>
      </c>
      <c r="D11" s="7" t="s">
        <v>37</v>
      </c>
      <c r="E11" s="7">
        <v>175000.1</v>
      </c>
      <c r="F11" s="7" t="s">
        <v>127</v>
      </c>
    </row>
    <row r="12" spans="1:6" ht="16" customHeight="1" x14ac:dyDescent="0.35">
      <c r="A12" s="6">
        <v>46174</v>
      </c>
      <c r="B12" s="7" t="s">
        <v>12</v>
      </c>
      <c r="C12" s="12" t="s">
        <v>26</v>
      </c>
      <c r="D12" s="7" t="s">
        <v>38</v>
      </c>
      <c r="E12" s="7">
        <v>350000.2</v>
      </c>
      <c r="F12" s="7" t="s">
        <v>127</v>
      </c>
    </row>
    <row r="13" spans="1:6" ht="16" customHeight="1" x14ac:dyDescent="0.35">
      <c r="A13" s="6">
        <v>46174</v>
      </c>
      <c r="B13" s="7" t="s">
        <v>12</v>
      </c>
      <c r="C13" s="12" t="s">
        <v>26</v>
      </c>
      <c r="D13" s="7" t="s">
        <v>39</v>
      </c>
      <c r="E13" s="7">
        <v>175000.1</v>
      </c>
      <c r="F13" s="7" t="s">
        <v>127</v>
      </c>
    </row>
    <row r="14" spans="1:6" ht="16" customHeight="1" x14ac:dyDescent="0.35">
      <c r="A14" s="6">
        <v>46174</v>
      </c>
      <c r="B14" s="7" t="s">
        <v>12</v>
      </c>
      <c r="C14" s="12" t="s">
        <v>26</v>
      </c>
      <c r="D14" s="7" t="s">
        <v>40</v>
      </c>
      <c r="E14" s="7">
        <v>524999.20000000007</v>
      </c>
      <c r="F14" s="7" t="s">
        <v>127</v>
      </c>
    </row>
    <row r="15" spans="1:6" ht="16" customHeight="1" x14ac:dyDescent="0.35">
      <c r="A15" s="6">
        <v>46174</v>
      </c>
      <c r="B15" s="7" t="s">
        <v>12</v>
      </c>
      <c r="C15" s="12" t="s">
        <v>26</v>
      </c>
      <c r="D15" s="7" t="s">
        <v>41</v>
      </c>
      <c r="E15" s="7">
        <v>175000.1</v>
      </c>
      <c r="F15" s="7" t="s">
        <v>127</v>
      </c>
    </row>
    <row r="16" spans="1:6" ht="16" customHeight="1" x14ac:dyDescent="0.35">
      <c r="A16" s="6">
        <v>46174</v>
      </c>
      <c r="B16" s="7" t="s">
        <v>12</v>
      </c>
      <c r="C16" s="12" t="s">
        <v>26</v>
      </c>
      <c r="D16" s="7" t="s">
        <v>42</v>
      </c>
      <c r="E16" s="7">
        <v>350000.2</v>
      </c>
      <c r="F16" s="7" t="s">
        <v>127</v>
      </c>
    </row>
    <row r="17" spans="1:6" ht="16" customHeight="1" x14ac:dyDescent="0.35">
      <c r="A17" s="6">
        <v>46174</v>
      </c>
      <c r="B17" s="7" t="s">
        <v>12</v>
      </c>
      <c r="C17" s="12" t="s">
        <v>26</v>
      </c>
      <c r="D17" s="7" t="s">
        <v>43</v>
      </c>
      <c r="E17" s="7">
        <v>175000.1</v>
      </c>
      <c r="F17" s="7" t="s">
        <v>129</v>
      </c>
    </row>
    <row r="18" spans="1:6" ht="16" customHeight="1" x14ac:dyDescent="0.35">
      <c r="A18" s="6">
        <v>46174</v>
      </c>
      <c r="B18" s="7" t="s">
        <v>12</v>
      </c>
      <c r="C18" s="12" t="s">
        <v>26</v>
      </c>
      <c r="D18" s="7" t="s">
        <v>44</v>
      </c>
      <c r="E18" s="7">
        <v>175000.1</v>
      </c>
      <c r="F18" s="7" t="s">
        <v>127</v>
      </c>
    </row>
    <row r="19" spans="1:6" ht="16" customHeight="1" x14ac:dyDescent="0.35">
      <c r="A19" s="6">
        <v>46174</v>
      </c>
      <c r="B19" s="7" t="s">
        <v>12</v>
      </c>
      <c r="C19" s="12" t="s">
        <v>26</v>
      </c>
      <c r="D19" s="7" t="s">
        <v>45</v>
      </c>
      <c r="E19" s="7">
        <v>350000.2</v>
      </c>
      <c r="F19" s="7" t="s">
        <v>127</v>
      </c>
    </row>
    <row r="20" spans="1:6" ht="16" customHeight="1" x14ac:dyDescent="0.35">
      <c r="A20" s="6">
        <v>46174</v>
      </c>
      <c r="B20" s="7" t="s">
        <v>12</v>
      </c>
      <c r="C20" s="12" t="s">
        <v>26</v>
      </c>
      <c r="D20" s="7" t="s">
        <v>46</v>
      </c>
      <c r="E20" s="7">
        <v>175000.1</v>
      </c>
      <c r="F20" s="7" t="s">
        <v>127</v>
      </c>
    </row>
    <row r="21" spans="1:6" ht="16" customHeight="1" x14ac:dyDescent="0.35">
      <c r="A21" s="6">
        <v>46174</v>
      </c>
      <c r="B21" s="7" t="s">
        <v>12</v>
      </c>
      <c r="C21" s="12" t="s">
        <v>26</v>
      </c>
      <c r="D21" s="7" t="s">
        <v>47</v>
      </c>
      <c r="E21" s="7">
        <v>175000.1</v>
      </c>
      <c r="F21" s="7" t="s">
        <v>127</v>
      </c>
    </row>
    <row r="22" spans="1:6" ht="16" customHeight="1" x14ac:dyDescent="0.35">
      <c r="A22" s="6">
        <v>46174</v>
      </c>
      <c r="B22" s="7" t="s">
        <v>12</v>
      </c>
      <c r="C22" s="12" t="s">
        <v>26</v>
      </c>
      <c r="D22" s="7" t="s">
        <v>48</v>
      </c>
      <c r="E22" s="7">
        <v>175000.1</v>
      </c>
      <c r="F22" s="7" t="s">
        <v>127</v>
      </c>
    </row>
    <row r="23" spans="1:6" ht="16" customHeight="1" x14ac:dyDescent="0.35">
      <c r="A23" s="6">
        <v>46174</v>
      </c>
      <c r="B23" s="7" t="s">
        <v>12</v>
      </c>
      <c r="C23" s="12" t="s">
        <v>26</v>
      </c>
      <c r="D23" s="7" t="s">
        <v>49</v>
      </c>
      <c r="E23" s="7">
        <v>524999.20000000007</v>
      </c>
      <c r="F23" s="7" t="s">
        <v>127</v>
      </c>
    </row>
    <row r="24" spans="1:6" ht="16" customHeight="1" x14ac:dyDescent="0.35">
      <c r="A24" s="6">
        <v>46174</v>
      </c>
      <c r="B24" s="7" t="s">
        <v>12</v>
      </c>
      <c r="C24" s="12" t="s">
        <v>26</v>
      </c>
      <c r="D24" s="7" t="s">
        <v>50</v>
      </c>
      <c r="E24" s="7">
        <v>175000.1</v>
      </c>
      <c r="F24" s="7" t="s">
        <v>127</v>
      </c>
    </row>
    <row r="25" spans="1:6" ht="16" customHeight="1" x14ac:dyDescent="0.35">
      <c r="A25" s="6">
        <v>46174</v>
      </c>
      <c r="B25" s="7" t="s">
        <v>12</v>
      </c>
      <c r="C25" s="12" t="s">
        <v>26</v>
      </c>
      <c r="D25" s="7" t="s">
        <v>51</v>
      </c>
      <c r="E25" s="7">
        <v>175000.1</v>
      </c>
      <c r="F25" s="7" t="s">
        <v>127</v>
      </c>
    </row>
    <row r="26" spans="1:6" ht="16" customHeight="1" x14ac:dyDescent="0.35">
      <c r="A26" s="6">
        <v>46174</v>
      </c>
      <c r="B26" s="7" t="s">
        <v>12</v>
      </c>
      <c r="C26" s="12" t="s">
        <v>26</v>
      </c>
      <c r="D26" s="7" t="s">
        <v>52</v>
      </c>
      <c r="E26" s="7">
        <v>175000.1</v>
      </c>
      <c r="F26" s="7" t="s">
        <v>127</v>
      </c>
    </row>
    <row r="27" spans="1:6" ht="16" customHeight="1" x14ac:dyDescent="0.35">
      <c r="A27" s="6">
        <v>46174</v>
      </c>
      <c r="B27" s="7" t="s">
        <v>12</v>
      </c>
      <c r="C27" s="12" t="s">
        <v>26</v>
      </c>
      <c r="D27" s="7" t="s">
        <v>53</v>
      </c>
      <c r="E27" s="7">
        <v>175000.1</v>
      </c>
      <c r="F27" s="7" t="s">
        <v>127</v>
      </c>
    </row>
    <row r="28" spans="1:6" ht="16" customHeight="1" x14ac:dyDescent="0.35">
      <c r="A28" s="6">
        <v>46174</v>
      </c>
      <c r="B28" s="7" t="s">
        <v>12</v>
      </c>
      <c r="C28" s="12" t="s">
        <v>26</v>
      </c>
      <c r="D28" s="7" t="s">
        <v>54</v>
      </c>
      <c r="E28" s="7">
        <v>175000.1</v>
      </c>
      <c r="F28" s="7" t="s">
        <v>127</v>
      </c>
    </row>
    <row r="29" spans="1:6" ht="16" customHeight="1" x14ac:dyDescent="0.35">
      <c r="A29" s="6">
        <v>46174</v>
      </c>
      <c r="B29" s="7" t="s">
        <v>12</v>
      </c>
      <c r="C29" s="12" t="s">
        <v>26</v>
      </c>
      <c r="D29" s="7" t="s">
        <v>55</v>
      </c>
      <c r="E29" s="7">
        <v>175000.1</v>
      </c>
      <c r="F29" s="7" t="s">
        <v>127</v>
      </c>
    </row>
    <row r="30" spans="1:6" ht="16" customHeight="1" x14ac:dyDescent="0.35">
      <c r="A30" s="6">
        <v>46174</v>
      </c>
      <c r="B30" s="7" t="s">
        <v>12</v>
      </c>
      <c r="C30" s="12" t="s">
        <v>26</v>
      </c>
      <c r="D30" s="7" t="s">
        <v>56</v>
      </c>
      <c r="E30" s="7">
        <v>350000.2</v>
      </c>
      <c r="F30" s="7" t="s">
        <v>127</v>
      </c>
    </row>
    <row r="31" spans="1:6" ht="16" customHeight="1" x14ac:dyDescent="0.35">
      <c r="A31" s="16">
        <v>46174</v>
      </c>
      <c r="B31" s="7" t="s">
        <v>12</v>
      </c>
      <c r="C31" s="12" t="s">
        <v>26</v>
      </c>
      <c r="D31" s="17" t="s">
        <v>57</v>
      </c>
      <c r="E31" s="17">
        <v>175000.1</v>
      </c>
      <c r="F31" s="17" t="s">
        <v>127</v>
      </c>
    </row>
    <row r="32" spans="1:6" ht="16" customHeight="1" x14ac:dyDescent="0.35">
      <c r="A32" s="6">
        <v>46174</v>
      </c>
      <c r="B32" s="7" t="s">
        <v>12</v>
      </c>
      <c r="C32" s="12" t="s">
        <v>26</v>
      </c>
      <c r="D32" s="7" t="s">
        <v>58</v>
      </c>
      <c r="E32" s="7">
        <v>175000.1</v>
      </c>
      <c r="F32" s="7" t="s">
        <v>127</v>
      </c>
    </row>
    <row r="33" spans="1:6" ht="16" customHeight="1" x14ac:dyDescent="0.35">
      <c r="A33" s="6">
        <v>46174</v>
      </c>
      <c r="B33" s="7" t="s">
        <v>12</v>
      </c>
      <c r="C33" s="12" t="s">
        <v>26</v>
      </c>
      <c r="D33" s="7" t="s">
        <v>59</v>
      </c>
      <c r="E33" s="7">
        <v>350000.2</v>
      </c>
      <c r="F33" s="7" t="s">
        <v>127</v>
      </c>
    </row>
    <row r="34" spans="1:6" ht="16" customHeight="1" x14ac:dyDescent="0.35">
      <c r="A34" s="6">
        <v>46174</v>
      </c>
      <c r="B34" s="7" t="s">
        <v>12</v>
      </c>
      <c r="C34" s="12" t="s">
        <v>26</v>
      </c>
      <c r="D34" s="7" t="s">
        <v>60</v>
      </c>
      <c r="E34" s="7">
        <v>350000.2</v>
      </c>
      <c r="F34" s="7" t="s">
        <v>126</v>
      </c>
    </row>
    <row r="35" spans="1:6" ht="16" customHeight="1" x14ac:dyDescent="0.35">
      <c r="A35" s="6">
        <v>46174</v>
      </c>
      <c r="B35" s="7" t="s">
        <v>12</v>
      </c>
      <c r="C35" s="12" t="s">
        <v>26</v>
      </c>
      <c r="D35" s="7" t="s">
        <v>61</v>
      </c>
      <c r="E35" s="7">
        <v>175000.1</v>
      </c>
      <c r="F35" s="7" t="s">
        <v>126</v>
      </c>
    </row>
    <row r="36" spans="1:6" ht="16" customHeight="1" x14ac:dyDescent="0.35">
      <c r="A36" s="6">
        <v>46174</v>
      </c>
      <c r="B36" s="7" t="s">
        <v>12</v>
      </c>
      <c r="C36" s="12" t="s">
        <v>26</v>
      </c>
      <c r="D36" s="7" t="s">
        <v>62</v>
      </c>
      <c r="E36" s="7">
        <v>175000.1</v>
      </c>
      <c r="F36" s="7" t="s">
        <v>130</v>
      </c>
    </row>
    <row r="37" spans="1:6" ht="16" customHeight="1" x14ac:dyDescent="0.35">
      <c r="A37" s="6">
        <v>46174</v>
      </c>
      <c r="B37" s="7" t="s">
        <v>12</v>
      </c>
      <c r="C37" s="12" t="s">
        <v>26</v>
      </c>
      <c r="D37" s="7" t="s">
        <v>63</v>
      </c>
      <c r="E37" s="7">
        <v>175000.1</v>
      </c>
      <c r="F37" s="7" t="s">
        <v>130</v>
      </c>
    </row>
    <row r="38" spans="1:6" ht="16" customHeight="1" x14ac:dyDescent="0.35">
      <c r="A38" s="6">
        <v>46174</v>
      </c>
      <c r="B38" s="7" t="s">
        <v>12</v>
      </c>
      <c r="C38" s="12" t="s">
        <v>26</v>
      </c>
      <c r="D38" s="7" t="s">
        <v>64</v>
      </c>
      <c r="E38" s="7">
        <v>350000.2</v>
      </c>
      <c r="F38" s="7" t="s">
        <v>130</v>
      </c>
    </row>
    <row r="39" spans="1:6" ht="16" customHeight="1" x14ac:dyDescent="0.35">
      <c r="A39" s="6">
        <v>46174</v>
      </c>
      <c r="B39" s="7" t="s">
        <v>12</v>
      </c>
      <c r="C39" s="12" t="s">
        <v>26</v>
      </c>
      <c r="D39" s="7" t="s">
        <v>65</v>
      </c>
      <c r="E39" s="7">
        <v>175000.1</v>
      </c>
      <c r="F39" s="7" t="s">
        <v>131</v>
      </c>
    </row>
    <row r="40" spans="1:6" ht="16" customHeight="1" x14ac:dyDescent="0.35">
      <c r="A40" s="6">
        <v>46174</v>
      </c>
      <c r="B40" s="7" t="s">
        <v>12</v>
      </c>
      <c r="C40" s="12" t="s">
        <v>26</v>
      </c>
      <c r="D40" s="7" t="s">
        <v>66</v>
      </c>
      <c r="E40" s="7">
        <v>350000.2</v>
      </c>
      <c r="F40" s="7" t="s">
        <v>130</v>
      </c>
    </row>
    <row r="41" spans="1:6" ht="16" customHeight="1" x14ac:dyDescent="0.35">
      <c r="A41" s="6">
        <v>46174</v>
      </c>
      <c r="B41" s="7" t="s">
        <v>12</v>
      </c>
      <c r="C41" s="12" t="s">
        <v>26</v>
      </c>
      <c r="D41" s="7" t="s">
        <v>67</v>
      </c>
      <c r="E41" s="7">
        <v>350000.2</v>
      </c>
      <c r="F41" s="7" t="s">
        <v>130</v>
      </c>
    </row>
    <row r="42" spans="1:6" ht="16" customHeight="1" x14ac:dyDescent="0.35">
      <c r="A42" s="6">
        <v>46174</v>
      </c>
      <c r="B42" s="7" t="s">
        <v>12</v>
      </c>
      <c r="C42" s="12" t="s">
        <v>26</v>
      </c>
      <c r="D42" s="7" t="s">
        <v>68</v>
      </c>
      <c r="E42" s="7">
        <v>175000.1</v>
      </c>
      <c r="F42" s="7" t="s">
        <v>130</v>
      </c>
    </row>
    <row r="43" spans="1:6" ht="16" customHeight="1" x14ac:dyDescent="0.35">
      <c r="A43" s="6">
        <v>46174</v>
      </c>
      <c r="B43" s="7" t="s">
        <v>12</v>
      </c>
      <c r="C43" s="12" t="s">
        <v>26</v>
      </c>
      <c r="D43" s="7" t="s">
        <v>69</v>
      </c>
      <c r="E43" s="7">
        <v>175000.1</v>
      </c>
      <c r="F43" s="7" t="s">
        <v>130</v>
      </c>
    </row>
    <row r="44" spans="1:6" ht="16" customHeight="1" x14ac:dyDescent="0.35">
      <c r="A44" s="6">
        <v>46174</v>
      </c>
      <c r="B44" s="7" t="s">
        <v>12</v>
      </c>
      <c r="C44" s="12" t="s">
        <v>26</v>
      </c>
      <c r="D44" s="7" t="s">
        <v>70</v>
      </c>
      <c r="E44" s="7">
        <v>350000.2</v>
      </c>
      <c r="F44" s="7" t="s">
        <v>130</v>
      </c>
    </row>
    <row r="45" spans="1:6" ht="16" customHeight="1" x14ac:dyDescent="0.35">
      <c r="A45" s="6">
        <v>46174</v>
      </c>
      <c r="B45" s="7" t="s">
        <v>12</v>
      </c>
      <c r="C45" s="12" t="s">
        <v>26</v>
      </c>
      <c r="D45" s="7" t="s">
        <v>71</v>
      </c>
      <c r="E45" s="7">
        <v>350000.2</v>
      </c>
      <c r="F45" s="7" t="s">
        <v>130</v>
      </c>
    </row>
    <row r="46" spans="1:6" ht="16" customHeight="1" x14ac:dyDescent="0.35">
      <c r="A46" s="6">
        <v>46174</v>
      </c>
      <c r="B46" s="7" t="s">
        <v>12</v>
      </c>
      <c r="C46" s="12" t="s">
        <v>26</v>
      </c>
      <c r="D46" s="7" t="s">
        <v>72</v>
      </c>
      <c r="E46" s="7">
        <v>524999.20000000007</v>
      </c>
      <c r="F46" s="7" t="s">
        <v>130</v>
      </c>
    </row>
    <row r="47" spans="1:6" ht="16" customHeight="1" x14ac:dyDescent="0.35">
      <c r="A47" s="6">
        <v>46174</v>
      </c>
      <c r="B47" s="7" t="s">
        <v>12</v>
      </c>
      <c r="C47" s="12" t="s">
        <v>26</v>
      </c>
      <c r="D47" s="7" t="s">
        <v>73</v>
      </c>
      <c r="E47" s="7">
        <v>175000.1</v>
      </c>
      <c r="F47" s="7" t="s">
        <v>132</v>
      </c>
    </row>
    <row r="48" spans="1:6" ht="16" customHeight="1" x14ac:dyDescent="0.35">
      <c r="A48" s="6">
        <v>46174</v>
      </c>
      <c r="B48" s="7" t="s">
        <v>12</v>
      </c>
      <c r="C48" s="12" t="s">
        <v>26</v>
      </c>
      <c r="D48" s="7" t="s">
        <v>74</v>
      </c>
      <c r="E48" s="7">
        <v>350000.2</v>
      </c>
      <c r="F48" s="7" t="s">
        <v>127</v>
      </c>
    </row>
    <row r="49" spans="1:6" x14ac:dyDescent="0.35">
      <c r="A49" s="6">
        <v>46174</v>
      </c>
      <c r="B49" s="7" t="s">
        <v>12</v>
      </c>
      <c r="C49" s="12" t="s">
        <v>26</v>
      </c>
      <c r="D49" s="7" t="s">
        <v>75</v>
      </c>
      <c r="E49" s="7">
        <v>350000.2</v>
      </c>
      <c r="F49" s="7" t="s">
        <v>131</v>
      </c>
    </row>
    <row r="50" spans="1:6" x14ac:dyDescent="0.35">
      <c r="A50" s="6">
        <v>46174</v>
      </c>
      <c r="B50" s="7" t="s">
        <v>12</v>
      </c>
      <c r="C50" s="12" t="s">
        <v>26</v>
      </c>
      <c r="D50" s="7" t="s">
        <v>76</v>
      </c>
      <c r="E50" s="7">
        <v>175000.1</v>
      </c>
      <c r="F50" s="7" t="s">
        <v>127</v>
      </c>
    </row>
    <row r="51" spans="1:6" x14ac:dyDescent="0.35">
      <c r="A51" s="6">
        <v>46174</v>
      </c>
      <c r="B51" s="7" t="s">
        <v>12</v>
      </c>
      <c r="C51" s="12" t="s">
        <v>26</v>
      </c>
      <c r="D51" s="7" t="s">
        <v>77</v>
      </c>
      <c r="E51" s="7">
        <v>175000.1</v>
      </c>
      <c r="F51" s="7" t="s">
        <v>127</v>
      </c>
    </row>
    <row r="52" spans="1:6" x14ac:dyDescent="0.35">
      <c r="A52" s="6">
        <v>46174</v>
      </c>
      <c r="B52" s="7" t="s">
        <v>12</v>
      </c>
      <c r="C52" s="12" t="s">
        <v>26</v>
      </c>
      <c r="D52" s="7" t="s">
        <v>78</v>
      </c>
      <c r="E52" s="7">
        <v>175000.1</v>
      </c>
      <c r="F52" s="7" t="s">
        <v>127</v>
      </c>
    </row>
    <row r="53" spans="1:6" x14ac:dyDescent="0.35">
      <c r="A53" s="6">
        <v>46174</v>
      </c>
      <c r="B53" s="7" t="s">
        <v>12</v>
      </c>
      <c r="C53" s="12" t="s">
        <v>26</v>
      </c>
      <c r="D53" s="7" t="s">
        <v>79</v>
      </c>
      <c r="E53" s="7">
        <v>350000.2</v>
      </c>
      <c r="F53" s="7" t="s">
        <v>127</v>
      </c>
    </row>
    <row r="54" spans="1:6" x14ac:dyDescent="0.35">
      <c r="A54" s="6">
        <v>46174</v>
      </c>
      <c r="B54" s="7" t="s">
        <v>12</v>
      </c>
      <c r="C54" s="12" t="s">
        <v>26</v>
      </c>
      <c r="D54" s="7" t="s">
        <v>80</v>
      </c>
      <c r="E54" s="7">
        <v>175000.1</v>
      </c>
      <c r="F54" s="7" t="s">
        <v>127</v>
      </c>
    </row>
    <row r="55" spans="1:6" x14ac:dyDescent="0.35">
      <c r="A55" s="6">
        <v>46174</v>
      </c>
      <c r="B55" s="7" t="s">
        <v>12</v>
      </c>
      <c r="C55" s="12" t="s">
        <v>26</v>
      </c>
      <c r="D55" s="7" t="s">
        <v>81</v>
      </c>
      <c r="E55" s="7">
        <v>175000.1</v>
      </c>
      <c r="F55" s="7" t="s">
        <v>130</v>
      </c>
    </row>
    <row r="56" spans="1:6" x14ac:dyDescent="0.35">
      <c r="A56" s="6">
        <v>46174</v>
      </c>
      <c r="B56" s="7" t="s">
        <v>12</v>
      </c>
      <c r="C56" s="12" t="s">
        <v>26</v>
      </c>
      <c r="D56" s="7" t="s">
        <v>82</v>
      </c>
      <c r="E56" s="7">
        <v>350000.2</v>
      </c>
      <c r="F56" s="7" t="s">
        <v>127</v>
      </c>
    </row>
    <row r="57" spans="1:6" x14ac:dyDescent="0.35">
      <c r="A57" s="6">
        <v>46174</v>
      </c>
      <c r="B57" s="7" t="s">
        <v>12</v>
      </c>
      <c r="C57" s="12" t="s">
        <v>26</v>
      </c>
      <c r="D57" s="7" t="s">
        <v>83</v>
      </c>
      <c r="E57" s="7">
        <v>350000.2</v>
      </c>
      <c r="F57" s="7" t="s">
        <v>127</v>
      </c>
    </row>
    <row r="58" spans="1:6" x14ac:dyDescent="0.35">
      <c r="A58" s="6">
        <v>46174</v>
      </c>
      <c r="B58" s="7" t="s">
        <v>12</v>
      </c>
      <c r="C58" s="12" t="s">
        <v>26</v>
      </c>
      <c r="D58" s="7" t="s">
        <v>84</v>
      </c>
      <c r="E58" s="7">
        <v>524999.20000000007</v>
      </c>
      <c r="F58" s="7" t="s">
        <v>133</v>
      </c>
    </row>
    <row r="59" spans="1:6" x14ac:dyDescent="0.35">
      <c r="A59" s="6">
        <v>46174</v>
      </c>
      <c r="B59" s="7" t="s">
        <v>12</v>
      </c>
      <c r="C59" s="12" t="s">
        <v>26</v>
      </c>
      <c r="D59" s="7" t="s">
        <v>85</v>
      </c>
      <c r="E59" s="7">
        <v>175000.1</v>
      </c>
      <c r="F59" s="7" t="s">
        <v>130</v>
      </c>
    </row>
    <row r="60" spans="1:6" x14ac:dyDescent="0.35">
      <c r="A60" s="6">
        <v>46174</v>
      </c>
      <c r="B60" s="7" t="s">
        <v>12</v>
      </c>
      <c r="C60" s="12" t="s">
        <v>26</v>
      </c>
      <c r="D60" s="7" t="s">
        <v>86</v>
      </c>
      <c r="E60" s="7">
        <v>524999.20000000007</v>
      </c>
      <c r="F60" s="7" t="s">
        <v>130</v>
      </c>
    </row>
    <row r="61" spans="1:6" x14ac:dyDescent="0.35">
      <c r="A61" s="6">
        <v>46174</v>
      </c>
      <c r="B61" s="7" t="s">
        <v>12</v>
      </c>
      <c r="C61" s="12" t="s">
        <v>26</v>
      </c>
      <c r="D61" s="7" t="s">
        <v>87</v>
      </c>
      <c r="E61" s="7">
        <v>175000.1</v>
      </c>
      <c r="F61" s="7" t="s">
        <v>133</v>
      </c>
    </row>
    <row r="62" spans="1:6" x14ac:dyDescent="0.35">
      <c r="A62" s="6">
        <v>46174</v>
      </c>
      <c r="B62" s="7" t="s">
        <v>12</v>
      </c>
      <c r="C62" s="12" t="s">
        <v>26</v>
      </c>
      <c r="D62" s="7" t="s">
        <v>88</v>
      </c>
      <c r="E62" s="7">
        <v>175000.1</v>
      </c>
      <c r="F62" s="7" t="s">
        <v>133</v>
      </c>
    </row>
    <row r="63" spans="1:6" x14ac:dyDescent="0.35">
      <c r="A63" s="6">
        <v>46174</v>
      </c>
      <c r="B63" s="7" t="s">
        <v>12</v>
      </c>
      <c r="C63" s="12" t="s">
        <v>26</v>
      </c>
      <c r="D63" s="7" t="s">
        <v>89</v>
      </c>
      <c r="E63" s="7">
        <v>175000.1</v>
      </c>
      <c r="F63" s="7" t="s">
        <v>127</v>
      </c>
    </row>
    <row r="64" spans="1:6" x14ac:dyDescent="0.35">
      <c r="A64" s="6">
        <v>46174</v>
      </c>
      <c r="B64" s="7" t="s">
        <v>12</v>
      </c>
      <c r="C64" s="12" t="s">
        <v>26</v>
      </c>
      <c r="D64" s="7" t="s">
        <v>90</v>
      </c>
      <c r="E64" s="7">
        <v>175000.1</v>
      </c>
      <c r="F64" s="7" t="s">
        <v>127</v>
      </c>
    </row>
    <row r="65" spans="1:6" x14ac:dyDescent="0.35">
      <c r="A65" s="6">
        <v>46174</v>
      </c>
      <c r="B65" s="7" t="s">
        <v>12</v>
      </c>
      <c r="C65" s="12" t="s">
        <v>26</v>
      </c>
      <c r="D65" s="7" t="s">
        <v>91</v>
      </c>
      <c r="E65" s="7">
        <v>175000.1</v>
      </c>
      <c r="F65" s="7" t="s">
        <v>127</v>
      </c>
    </row>
    <row r="66" spans="1:6" x14ac:dyDescent="0.35">
      <c r="A66" s="6">
        <v>46174</v>
      </c>
      <c r="B66" s="7" t="s">
        <v>12</v>
      </c>
      <c r="C66" s="12" t="s">
        <v>26</v>
      </c>
      <c r="D66" s="7" t="s">
        <v>92</v>
      </c>
      <c r="E66" s="7">
        <v>350000.2</v>
      </c>
      <c r="F66" s="7" t="s">
        <v>127</v>
      </c>
    </row>
    <row r="67" spans="1:6" x14ac:dyDescent="0.35">
      <c r="A67" s="6">
        <v>46174</v>
      </c>
      <c r="B67" s="7" t="s">
        <v>12</v>
      </c>
      <c r="C67" s="12" t="s">
        <v>26</v>
      </c>
      <c r="D67" s="7" t="s">
        <v>93</v>
      </c>
      <c r="E67" s="7">
        <v>175000.1</v>
      </c>
      <c r="F67" s="7" t="s">
        <v>127</v>
      </c>
    </row>
    <row r="68" spans="1:6" x14ac:dyDescent="0.35">
      <c r="A68" s="6">
        <v>46174</v>
      </c>
      <c r="B68" s="7" t="s">
        <v>12</v>
      </c>
      <c r="C68" s="12" t="s">
        <v>26</v>
      </c>
      <c r="D68" s="7" t="s">
        <v>94</v>
      </c>
      <c r="E68" s="7">
        <v>175000.1</v>
      </c>
      <c r="F68" s="7" t="s">
        <v>130</v>
      </c>
    </row>
    <row r="69" spans="1:6" x14ac:dyDescent="0.35">
      <c r="A69" s="6">
        <v>46174</v>
      </c>
      <c r="B69" s="7" t="s">
        <v>12</v>
      </c>
      <c r="C69" s="12" t="s">
        <v>26</v>
      </c>
      <c r="D69" s="7" t="s">
        <v>95</v>
      </c>
      <c r="E69" s="7">
        <v>524999.20000000007</v>
      </c>
      <c r="F69" s="7" t="s">
        <v>130</v>
      </c>
    </row>
    <row r="70" spans="1:6" x14ac:dyDescent="0.35">
      <c r="A70" s="6">
        <v>46174</v>
      </c>
      <c r="B70" s="7" t="s">
        <v>12</v>
      </c>
      <c r="C70" s="12" t="s">
        <v>26</v>
      </c>
      <c r="D70" s="7" t="s">
        <v>96</v>
      </c>
      <c r="E70" s="7">
        <v>524999.20000000007</v>
      </c>
      <c r="F70" s="7" t="s">
        <v>130</v>
      </c>
    </row>
    <row r="71" spans="1:6" x14ac:dyDescent="0.35">
      <c r="A71" s="6">
        <v>46174</v>
      </c>
      <c r="B71" s="7" t="s">
        <v>12</v>
      </c>
      <c r="C71" s="12" t="s">
        <v>26</v>
      </c>
      <c r="D71" s="7" t="s">
        <v>97</v>
      </c>
      <c r="E71" s="7">
        <v>175000.1</v>
      </c>
      <c r="F71" s="7" t="s">
        <v>130</v>
      </c>
    </row>
    <row r="72" spans="1:6" x14ac:dyDescent="0.35">
      <c r="A72" s="6">
        <v>46174</v>
      </c>
      <c r="B72" s="7" t="s">
        <v>12</v>
      </c>
      <c r="C72" s="12" t="s">
        <v>26</v>
      </c>
      <c r="D72" s="7" t="s">
        <v>98</v>
      </c>
      <c r="E72" s="7">
        <v>175000.1</v>
      </c>
      <c r="F72" s="7" t="s">
        <v>130</v>
      </c>
    </row>
    <row r="73" spans="1:6" x14ac:dyDescent="0.35">
      <c r="A73" s="6">
        <v>46174</v>
      </c>
      <c r="B73" s="7" t="s">
        <v>12</v>
      </c>
      <c r="C73" s="12" t="s">
        <v>26</v>
      </c>
      <c r="D73" s="7" t="s">
        <v>99</v>
      </c>
      <c r="E73" s="7">
        <v>699999.3</v>
      </c>
      <c r="F73" s="7" t="s">
        <v>130</v>
      </c>
    </row>
    <row r="74" spans="1:6" x14ac:dyDescent="0.35">
      <c r="A74" s="6">
        <v>46174</v>
      </c>
      <c r="B74" s="7" t="s">
        <v>12</v>
      </c>
      <c r="C74" s="12" t="s">
        <v>26</v>
      </c>
      <c r="D74" s="7" t="s">
        <v>100</v>
      </c>
      <c r="E74" s="7">
        <v>350000.2</v>
      </c>
      <c r="F74" s="7" t="s">
        <v>130</v>
      </c>
    </row>
    <row r="75" spans="1:6" x14ac:dyDescent="0.35">
      <c r="A75" s="6">
        <v>46174</v>
      </c>
      <c r="B75" s="7" t="s">
        <v>12</v>
      </c>
      <c r="C75" s="12" t="s">
        <v>26</v>
      </c>
      <c r="D75" s="7" t="s">
        <v>101</v>
      </c>
      <c r="E75" s="7">
        <v>524999.20000000007</v>
      </c>
      <c r="F75" s="7" t="s">
        <v>130</v>
      </c>
    </row>
    <row r="76" spans="1:6" x14ac:dyDescent="0.35">
      <c r="A76" s="6">
        <v>46174</v>
      </c>
      <c r="B76" s="7" t="s">
        <v>12</v>
      </c>
      <c r="C76" s="12" t="s">
        <v>26</v>
      </c>
      <c r="D76" s="7" t="s">
        <v>102</v>
      </c>
      <c r="E76" s="7">
        <v>175000.1</v>
      </c>
      <c r="F76" s="7" t="s">
        <v>127</v>
      </c>
    </row>
    <row r="77" spans="1:6" x14ac:dyDescent="0.35">
      <c r="A77" s="6">
        <v>46174</v>
      </c>
      <c r="B77" s="7" t="s">
        <v>12</v>
      </c>
      <c r="C77" s="12" t="s">
        <v>26</v>
      </c>
      <c r="D77" s="7" t="s">
        <v>103</v>
      </c>
      <c r="E77" s="7">
        <v>175000.1</v>
      </c>
      <c r="F77" s="7" t="s">
        <v>127</v>
      </c>
    </row>
    <row r="78" spans="1:6" x14ac:dyDescent="0.35">
      <c r="A78" s="6">
        <v>46174</v>
      </c>
      <c r="B78" s="7" t="s">
        <v>12</v>
      </c>
      <c r="C78" s="12" t="s">
        <v>26</v>
      </c>
      <c r="D78" s="7" t="s">
        <v>104</v>
      </c>
      <c r="E78" s="7">
        <v>175000.1</v>
      </c>
      <c r="F78" s="7" t="s">
        <v>130</v>
      </c>
    </row>
    <row r="79" spans="1:6" x14ac:dyDescent="0.35">
      <c r="A79" s="6">
        <v>46174</v>
      </c>
      <c r="B79" s="7" t="s">
        <v>12</v>
      </c>
      <c r="C79" s="12" t="s">
        <v>26</v>
      </c>
      <c r="D79" s="7" t="s">
        <v>105</v>
      </c>
      <c r="E79" s="7">
        <v>175000.1</v>
      </c>
      <c r="F79" s="7" t="s">
        <v>130</v>
      </c>
    </row>
    <row r="80" spans="1:6" x14ac:dyDescent="0.35">
      <c r="A80" s="6">
        <v>46174</v>
      </c>
      <c r="B80" s="7" t="s">
        <v>12</v>
      </c>
      <c r="C80" s="12" t="s">
        <v>26</v>
      </c>
      <c r="D80" s="7" t="s">
        <v>106</v>
      </c>
      <c r="E80" s="7">
        <v>175000.1</v>
      </c>
      <c r="F80" s="7" t="s">
        <v>130</v>
      </c>
    </row>
    <row r="81" spans="1:6" x14ac:dyDescent="0.35">
      <c r="A81" s="6">
        <v>46174</v>
      </c>
      <c r="B81" s="7" t="s">
        <v>12</v>
      </c>
      <c r="C81" s="12" t="s">
        <v>26</v>
      </c>
      <c r="D81" s="7" t="s">
        <v>107</v>
      </c>
      <c r="E81" s="7">
        <v>175000.1</v>
      </c>
      <c r="F81" s="7" t="s">
        <v>130</v>
      </c>
    </row>
    <row r="82" spans="1:6" x14ac:dyDescent="0.35">
      <c r="A82" s="6">
        <v>46174</v>
      </c>
      <c r="B82" s="7" t="s">
        <v>12</v>
      </c>
      <c r="C82" s="12" t="s">
        <v>26</v>
      </c>
      <c r="D82" s="7" t="s">
        <v>108</v>
      </c>
      <c r="E82" s="7">
        <v>175000.1</v>
      </c>
      <c r="F82" s="7" t="s">
        <v>130</v>
      </c>
    </row>
    <row r="83" spans="1:6" x14ac:dyDescent="0.35">
      <c r="A83" s="6">
        <v>46174</v>
      </c>
      <c r="B83" s="7" t="s">
        <v>12</v>
      </c>
      <c r="C83" s="12" t="s">
        <v>26</v>
      </c>
      <c r="D83" s="7" t="s">
        <v>109</v>
      </c>
      <c r="E83" s="7">
        <v>175000.1</v>
      </c>
      <c r="F83" s="7" t="s">
        <v>130</v>
      </c>
    </row>
    <row r="84" spans="1:6" x14ac:dyDescent="0.35">
      <c r="A84" s="6">
        <v>46174</v>
      </c>
      <c r="B84" s="7" t="s">
        <v>12</v>
      </c>
      <c r="C84" s="12" t="s">
        <v>26</v>
      </c>
      <c r="D84" s="7" t="s">
        <v>110</v>
      </c>
      <c r="E84" s="7">
        <v>350000.2</v>
      </c>
      <c r="F84" s="7" t="s">
        <v>130</v>
      </c>
    </row>
    <row r="85" spans="1:6" x14ac:dyDescent="0.35">
      <c r="A85" s="6">
        <v>46174</v>
      </c>
      <c r="B85" s="7" t="s">
        <v>12</v>
      </c>
      <c r="C85" s="12" t="s">
        <v>26</v>
      </c>
      <c r="D85" s="7" t="s">
        <v>111</v>
      </c>
      <c r="E85" s="7">
        <v>175000.1</v>
      </c>
      <c r="F85" s="7" t="s">
        <v>130</v>
      </c>
    </row>
    <row r="86" spans="1:6" x14ac:dyDescent="0.35">
      <c r="A86" s="6">
        <v>46174</v>
      </c>
      <c r="B86" s="7" t="s">
        <v>12</v>
      </c>
      <c r="C86" s="12" t="s">
        <v>26</v>
      </c>
      <c r="D86" s="7" t="s">
        <v>112</v>
      </c>
      <c r="E86" s="7">
        <v>175000.1</v>
      </c>
      <c r="F86" s="7" t="s">
        <v>130</v>
      </c>
    </row>
    <row r="87" spans="1:6" x14ac:dyDescent="0.35">
      <c r="A87" s="6">
        <v>46174</v>
      </c>
      <c r="B87" s="7" t="s">
        <v>12</v>
      </c>
      <c r="C87" s="12" t="s">
        <v>26</v>
      </c>
      <c r="D87" s="7" t="s">
        <v>113</v>
      </c>
      <c r="E87" s="7">
        <v>699999.3</v>
      </c>
      <c r="F87" s="7" t="s">
        <v>130</v>
      </c>
    </row>
    <row r="88" spans="1:6" x14ac:dyDescent="0.35">
      <c r="A88" s="6">
        <v>46174</v>
      </c>
      <c r="B88" s="7" t="s">
        <v>12</v>
      </c>
      <c r="C88" s="12" t="s">
        <v>26</v>
      </c>
      <c r="D88" s="7" t="s">
        <v>114</v>
      </c>
      <c r="E88" s="7">
        <v>225000.6</v>
      </c>
      <c r="F88" s="7" t="s">
        <v>128</v>
      </c>
    </row>
    <row r="89" spans="1:6" x14ac:dyDescent="0.35">
      <c r="A89" s="6">
        <v>46174</v>
      </c>
      <c r="B89" s="7" t="s">
        <v>12</v>
      </c>
      <c r="C89" s="12" t="s">
        <v>26</v>
      </c>
      <c r="D89" s="7" t="s">
        <v>115</v>
      </c>
      <c r="E89" s="7">
        <v>225000.6</v>
      </c>
      <c r="F89" s="7" t="s">
        <v>127</v>
      </c>
    </row>
    <row r="90" spans="1:6" x14ac:dyDescent="0.35">
      <c r="A90" s="6">
        <v>46174</v>
      </c>
      <c r="B90" s="7" t="s">
        <v>12</v>
      </c>
      <c r="C90" s="12" t="s">
        <v>26</v>
      </c>
      <c r="D90" s="7" t="s">
        <v>116</v>
      </c>
      <c r="E90" s="7">
        <v>450000.10000000003</v>
      </c>
      <c r="F90" s="7" t="s">
        <v>127</v>
      </c>
    </row>
    <row r="91" spans="1:6" x14ac:dyDescent="0.35">
      <c r="A91" s="6">
        <v>46174</v>
      </c>
      <c r="B91" s="7" t="s">
        <v>12</v>
      </c>
      <c r="C91" s="12" t="s">
        <v>26</v>
      </c>
      <c r="D91" s="7" t="s">
        <v>117</v>
      </c>
      <c r="E91" s="7">
        <v>675000.70000000007</v>
      </c>
      <c r="F91" s="7" t="s">
        <v>127</v>
      </c>
    </row>
    <row r="92" spans="1:6" x14ac:dyDescent="0.35">
      <c r="A92" s="6">
        <v>46174</v>
      </c>
      <c r="B92" s="7" t="s">
        <v>12</v>
      </c>
      <c r="C92" s="12" t="s">
        <v>26</v>
      </c>
      <c r="D92" s="7" t="s">
        <v>118</v>
      </c>
      <c r="E92" s="7">
        <v>225000.6</v>
      </c>
      <c r="F92" s="7" t="s">
        <v>126</v>
      </c>
    </row>
    <row r="93" spans="1:6" x14ac:dyDescent="0.35">
      <c r="A93" s="6">
        <v>46174</v>
      </c>
      <c r="B93" s="7" t="s">
        <v>12</v>
      </c>
      <c r="C93" s="12" t="s">
        <v>26</v>
      </c>
      <c r="D93" s="7" t="s">
        <v>119</v>
      </c>
      <c r="E93" s="7">
        <v>225000.6</v>
      </c>
      <c r="F93" s="7" t="s">
        <v>126</v>
      </c>
    </row>
    <row r="94" spans="1:6" x14ac:dyDescent="0.35">
      <c r="A94" s="6">
        <v>46174</v>
      </c>
      <c r="B94" s="7" t="s">
        <v>12</v>
      </c>
      <c r="C94" s="12" t="s">
        <v>26</v>
      </c>
      <c r="D94" s="7" t="s">
        <v>120</v>
      </c>
      <c r="E94" s="7">
        <v>450000.10000000003</v>
      </c>
      <c r="F94" s="7" t="s">
        <v>130</v>
      </c>
    </row>
    <row r="95" spans="1:6" x14ac:dyDescent="0.35">
      <c r="A95" s="6">
        <v>46174</v>
      </c>
      <c r="B95" s="7" t="s">
        <v>12</v>
      </c>
      <c r="C95" s="12" t="s">
        <v>26</v>
      </c>
      <c r="D95" s="7" t="s">
        <v>121</v>
      </c>
      <c r="E95" s="7">
        <v>225000.6</v>
      </c>
      <c r="F95" s="7" t="s">
        <v>133</v>
      </c>
    </row>
    <row r="96" spans="1:6" x14ac:dyDescent="0.35">
      <c r="A96" s="6">
        <v>46174</v>
      </c>
      <c r="B96" s="7" t="s">
        <v>12</v>
      </c>
      <c r="C96" s="12" t="s">
        <v>26</v>
      </c>
      <c r="D96" s="7" t="s">
        <v>122</v>
      </c>
      <c r="E96" s="7">
        <v>225000.6</v>
      </c>
      <c r="F96" s="7" t="s">
        <v>130</v>
      </c>
    </row>
    <row r="97" spans="1:6" x14ac:dyDescent="0.35">
      <c r="A97" s="6">
        <v>46174</v>
      </c>
      <c r="B97" s="7" t="s">
        <v>12</v>
      </c>
      <c r="C97" s="12" t="s">
        <v>26</v>
      </c>
      <c r="D97" s="7" t="s">
        <v>123</v>
      </c>
      <c r="E97" s="7">
        <v>450000.10000000003</v>
      </c>
      <c r="F97" s="7" t="s">
        <v>133</v>
      </c>
    </row>
    <row r="98" spans="1:6" x14ac:dyDescent="0.35">
      <c r="A98" s="6"/>
      <c r="B98" s="7"/>
      <c r="C98" s="12"/>
      <c r="D98" s="7"/>
      <c r="E98" s="7"/>
      <c r="F98" s="7"/>
    </row>
    <row r="99" spans="1:6" x14ac:dyDescent="0.35">
      <c r="A99" s="6"/>
      <c r="B99" s="7"/>
      <c r="C99" s="12"/>
      <c r="D99" s="7"/>
      <c r="E99" s="7"/>
      <c r="F99" s="7"/>
    </row>
    <row r="100" spans="1:6" x14ac:dyDescent="0.35">
      <c r="A100" s="6"/>
      <c r="B100" s="7"/>
      <c r="C100" s="12"/>
      <c r="D100" s="7"/>
      <c r="E100" s="7"/>
      <c r="F100" s="7"/>
    </row>
    <row r="101" spans="1:6" x14ac:dyDescent="0.35">
      <c r="A101" s="6"/>
      <c r="B101" s="7"/>
      <c r="C101" s="12"/>
      <c r="D101" s="7"/>
      <c r="E101" s="7"/>
      <c r="F101" s="7"/>
    </row>
    <row r="102" spans="1:6" x14ac:dyDescent="0.35">
      <c r="A102" s="6"/>
      <c r="B102" s="7"/>
      <c r="C102" s="12"/>
      <c r="D102" s="7"/>
      <c r="E102" s="7"/>
      <c r="F102" s="7"/>
    </row>
    <row r="103" spans="1:6" x14ac:dyDescent="0.35">
      <c r="A103" s="6"/>
      <c r="B103" s="7"/>
      <c r="C103" s="12"/>
      <c r="D103" s="7"/>
      <c r="E103" s="7"/>
      <c r="F103" s="7"/>
    </row>
    <row r="104" spans="1:6" x14ac:dyDescent="0.35">
      <c r="A104" s="6"/>
      <c r="B104" s="7"/>
      <c r="C104" s="12"/>
      <c r="D104" s="7"/>
      <c r="E104" s="7"/>
      <c r="F10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1834-865A-4FFF-8337-496032454D8C}">
  <dimension ref="A1:R28"/>
  <sheetViews>
    <sheetView workbookViewId="0">
      <selection activeCell="F15" sqref="F15"/>
    </sheetView>
  </sheetViews>
  <sheetFormatPr defaultRowHeight="14.5" x14ac:dyDescent="0.35"/>
  <cols>
    <col min="1" max="1" width="12.36328125" style="2" customWidth="1"/>
    <col min="2" max="2" width="32" style="3" customWidth="1"/>
    <col min="3" max="3" width="13.7265625" style="3" bestFit="1" customWidth="1"/>
    <col min="4" max="18" width="13.08984375" style="3" customWidth="1"/>
    <col min="19" max="16384" width="8.7265625" style="3"/>
  </cols>
  <sheetData>
    <row r="1" spans="1:18" x14ac:dyDescent="0.35">
      <c r="A1" s="10" t="s">
        <v>136</v>
      </c>
    </row>
    <row r="2" spans="1:18" x14ac:dyDescent="0.35">
      <c r="A2" s="10" t="s">
        <v>16</v>
      </c>
      <c r="B2" s="11" t="s">
        <v>15</v>
      </c>
      <c r="C2" s="11"/>
    </row>
    <row r="4" spans="1:18" x14ac:dyDescent="0.35">
      <c r="A4" s="20" t="s">
        <v>0</v>
      </c>
      <c r="B4" s="21" t="s">
        <v>20</v>
      </c>
      <c r="C4" s="21" t="s">
        <v>25</v>
      </c>
      <c r="D4" s="19" t="s">
        <v>8</v>
      </c>
      <c r="E4" s="19"/>
      <c r="F4" s="19"/>
      <c r="G4" s="19" t="s">
        <v>7</v>
      </c>
      <c r="H4" s="19"/>
      <c r="I4" s="19"/>
      <c r="J4" s="19" t="s">
        <v>22</v>
      </c>
      <c r="K4" s="19"/>
      <c r="L4" s="19"/>
      <c r="M4" s="19" t="s">
        <v>23</v>
      </c>
      <c r="N4" s="19"/>
      <c r="O4" s="19"/>
      <c r="P4" s="19" t="s">
        <v>13</v>
      </c>
      <c r="Q4" s="19"/>
      <c r="R4" s="19"/>
    </row>
    <row r="5" spans="1:18" s="1" customFormat="1" ht="29" x14ac:dyDescent="0.35">
      <c r="A5" s="20"/>
      <c r="B5" s="21"/>
      <c r="C5" s="21"/>
      <c r="D5" s="5" t="s">
        <v>19</v>
      </c>
      <c r="E5" s="5" t="s">
        <v>17</v>
      </c>
      <c r="F5" s="5" t="s">
        <v>18</v>
      </c>
      <c r="G5" s="5" t="s">
        <v>19</v>
      </c>
      <c r="H5" s="5" t="s">
        <v>17</v>
      </c>
      <c r="I5" s="5" t="s">
        <v>18</v>
      </c>
      <c r="J5" s="5" t="s">
        <v>19</v>
      </c>
      <c r="K5" s="5" t="s">
        <v>17</v>
      </c>
      <c r="L5" s="5" t="s">
        <v>18</v>
      </c>
      <c r="M5" s="5" t="s">
        <v>19</v>
      </c>
      <c r="N5" s="5" t="s">
        <v>17</v>
      </c>
      <c r="O5" s="5" t="s">
        <v>18</v>
      </c>
      <c r="P5" s="5" t="s">
        <v>19</v>
      </c>
      <c r="Q5" s="5" t="s">
        <v>17</v>
      </c>
      <c r="R5" s="5" t="s">
        <v>18</v>
      </c>
    </row>
    <row r="6" spans="1:18" ht="16" customHeight="1" x14ac:dyDescent="0.35">
      <c r="A6" s="6">
        <v>46174</v>
      </c>
      <c r="B6" s="7" t="s">
        <v>12</v>
      </c>
      <c r="C6" s="12" t="s">
        <v>26</v>
      </c>
      <c r="D6" s="7">
        <v>20920000</v>
      </c>
      <c r="E6" s="7">
        <v>259480</v>
      </c>
      <c r="F6" s="7">
        <f>D6-E6</f>
        <v>20660520</v>
      </c>
      <c r="G6" s="7">
        <v>15410000</v>
      </c>
      <c r="H6" s="7">
        <v>113515</v>
      </c>
      <c r="I6" s="7">
        <f>G6-H6</f>
        <v>15296485</v>
      </c>
      <c r="J6" s="7">
        <v>10335000</v>
      </c>
      <c r="K6" s="7">
        <v>72345</v>
      </c>
      <c r="L6" s="7">
        <f>J6-K6</f>
        <v>10262655</v>
      </c>
      <c r="M6" s="7">
        <v>0</v>
      </c>
      <c r="N6" s="7">
        <v>0</v>
      </c>
      <c r="O6" s="7">
        <f>M6-N6</f>
        <v>0</v>
      </c>
      <c r="P6" s="7">
        <f>D6+G6+J6+M6</f>
        <v>46665000</v>
      </c>
      <c r="Q6" s="7">
        <f>E6+H6+K6+N6</f>
        <v>445340</v>
      </c>
      <c r="R6" s="7">
        <f>F6+I6+L6+O6</f>
        <v>46219660</v>
      </c>
    </row>
    <row r="7" spans="1:18" ht="16" customHeight="1" x14ac:dyDescent="0.35">
      <c r="A7" s="6">
        <v>46175</v>
      </c>
      <c r="B7" s="7" t="s">
        <v>12</v>
      </c>
      <c r="C7" s="12" t="s">
        <v>26</v>
      </c>
      <c r="D7" s="7">
        <v>1290000</v>
      </c>
      <c r="E7" s="7">
        <v>13890</v>
      </c>
      <c r="F7" s="7">
        <f t="shared" ref="F7:F8" si="0">D7-E7</f>
        <v>1276110</v>
      </c>
      <c r="G7" s="7">
        <v>3070000</v>
      </c>
      <c r="H7" s="7">
        <v>22717</v>
      </c>
      <c r="I7" s="7">
        <f t="shared" ref="I7:I8" si="1">G7-H7</f>
        <v>3047283</v>
      </c>
      <c r="J7" s="7">
        <v>635000</v>
      </c>
      <c r="K7" s="7">
        <v>4445</v>
      </c>
      <c r="L7" s="7">
        <f t="shared" ref="L7:L8" si="2">J7-K7</f>
        <v>630555</v>
      </c>
      <c r="M7" s="7">
        <v>0</v>
      </c>
      <c r="N7" s="7">
        <v>0</v>
      </c>
      <c r="O7" s="7">
        <f t="shared" ref="O7:O8" si="3">M7-N7</f>
        <v>0</v>
      </c>
      <c r="P7" s="7">
        <f t="shared" ref="P7:P8" si="4">D7+G7+J7+M7</f>
        <v>4995000</v>
      </c>
      <c r="Q7" s="7">
        <f t="shared" ref="Q7:Q8" si="5">E7+H7+K7+N7</f>
        <v>41052</v>
      </c>
      <c r="R7" s="7">
        <f t="shared" ref="R7:R8" si="6">F7+I7+L7+O7</f>
        <v>4953948</v>
      </c>
    </row>
    <row r="8" spans="1:18" ht="16" customHeight="1" x14ac:dyDescent="0.35">
      <c r="A8" s="6">
        <v>46176</v>
      </c>
      <c r="B8" s="7" t="s">
        <v>12</v>
      </c>
      <c r="C8" s="12" t="s">
        <v>26</v>
      </c>
      <c r="D8" s="7">
        <v>1745000</v>
      </c>
      <c r="E8" s="7">
        <v>15900</v>
      </c>
      <c r="F8" s="7">
        <f t="shared" si="0"/>
        <v>1729100</v>
      </c>
      <c r="G8" s="7">
        <v>3085000</v>
      </c>
      <c r="H8" s="7">
        <v>18267</v>
      </c>
      <c r="I8" s="7">
        <f t="shared" si="1"/>
        <v>3066733</v>
      </c>
      <c r="J8" s="7">
        <v>2235000</v>
      </c>
      <c r="K8" s="7">
        <v>15645</v>
      </c>
      <c r="L8" s="7">
        <f t="shared" si="2"/>
        <v>2219355</v>
      </c>
      <c r="M8" s="7">
        <v>0</v>
      </c>
      <c r="N8" s="7">
        <v>0</v>
      </c>
      <c r="O8" s="7">
        <f t="shared" si="3"/>
        <v>0</v>
      </c>
      <c r="P8" s="7">
        <f t="shared" si="4"/>
        <v>7065000</v>
      </c>
      <c r="Q8" s="7">
        <f t="shared" si="5"/>
        <v>49812</v>
      </c>
      <c r="R8" s="7">
        <f t="shared" si="6"/>
        <v>7015188</v>
      </c>
    </row>
    <row r="9" spans="1:18" ht="16" customHeight="1" x14ac:dyDescent="0.3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16" customHeight="1" x14ac:dyDescent="0.3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16" customHeight="1" x14ac:dyDescent="0.35">
      <c r="A11" s="8"/>
      <c r="B11" s="9" t="s">
        <v>13</v>
      </c>
      <c r="C11" s="9"/>
      <c r="D11" s="9">
        <f>SUM(D6:D10)</f>
        <v>23955000</v>
      </c>
      <c r="E11" s="9">
        <f t="shared" ref="E11:R11" si="7">SUM(E6:E10)</f>
        <v>289270</v>
      </c>
      <c r="F11" s="9">
        <f t="shared" si="7"/>
        <v>23665730</v>
      </c>
      <c r="G11" s="9">
        <f t="shared" si="7"/>
        <v>21565000</v>
      </c>
      <c r="H11" s="9">
        <f t="shared" si="7"/>
        <v>154499</v>
      </c>
      <c r="I11" s="9">
        <f t="shared" si="7"/>
        <v>21410501</v>
      </c>
      <c r="J11" s="9">
        <f t="shared" si="7"/>
        <v>13205000</v>
      </c>
      <c r="K11" s="9">
        <f t="shared" si="7"/>
        <v>92435</v>
      </c>
      <c r="L11" s="9">
        <f t="shared" si="7"/>
        <v>13112565</v>
      </c>
      <c r="M11" s="9">
        <f t="shared" si="7"/>
        <v>0</v>
      </c>
      <c r="N11" s="9">
        <f t="shared" si="7"/>
        <v>0</v>
      </c>
      <c r="O11" s="9">
        <f t="shared" si="7"/>
        <v>0</v>
      </c>
      <c r="P11" s="9">
        <f t="shared" si="7"/>
        <v>58725000</v>
      </c>
      <c r="Q11" s="9">
        <f t="shared" si="7"/>
        <v>536204</v>
      </c>
      <c r="R11" s="9">
        <f t="shared" si="7"/>
        <v>58188796</v>
      </c>
    </row>
    <row r="12" spans="1:18" ht="16" customHeight="1" x14ac:dyDescent="0.35"/>
    <row r="13" spans="1:18" ht="16" customHeight="1" x14ac:dyDescent="0.35"/>
    <row r="14" spans="1:18" ht="16" customHeight="1" x14ac:dyDescent="0.35"/>
    <row r="15" spans="1:18" ht="16" customHeight="1" x14ac:dyDescent="0.35"/>
    <row r="16" spans="1:18" ht="16" customHeight="1" x14ac:dyDescent="0.35"/>
    <row r="17" ht="16" customHeight="1" x14ac:dyDescent="0.35"/>
    <row r="18" ht="16" customHeight="1" x14ac:dyDescent="0.35"/>
    <row r="19" ht="16" customHeight="1" x14ac:dyDescent="0.35"/>
    <row r="20" ht="16" customHeight="1" x14ac:dyDescent="0.35"/>
    <row r="21" ht="16" customHeight="1" x14ac:dyDescent="0.35"/>
    <row r="22" ht="16" customHeight="1" x14ac:dyDescent="0.35"/>
    <row r="23" ht="16" customHeight="1" x14ac:dyDescent="0.35"/>
    <row r="24" ht="16" customHeight="1" x14ac:dyDescent="0.35"/>
    <row r="25" ht="16" customHeight="1" x14ac:dyDescent="0.35"/>
    <row r="26" ht="16" customHeight="1" x14ac:dyDescent="0.35"/>
    <row r="27" ht="16" customHeight="1" x14ac:dyDescent="0.35"/>
    <row r="28" ht="16" customHeight="1" x14ac:dyDescent="0.35"/>
  </sheetData>
  <mergeCells count="8">
    <mergeCell ref="M4:O4"/>
    <mergeCell ref="P4:R4"/>
    <mergeCell ref="A4:A5"/>
    <mergeCell ref="B4:B5"/>
    <mergeCell ref="D4:F4"/>
    <mergeCell ref="G4:I4"/>
    <mergeCell ref="J4:L4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Contoh Sales Report</vt:lpstr>
      <vt:lpstr>Contoh Discount Report</vt:lpstr>
      <vt:lpstr>Contoh 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Citra Satwika Amelia</dc:creator>
  <cp:lastModifiedBy>Citra Satwika Amelia</cp:lastModifiedBy>
  <dcterms:created xsi:type="dcterms:W3CDTF">2026-07-25T06:42:56Z</dcterms:created>
  <dcterms:modified xsi:type="dcterms:W3CDTF">2026-07-27T09:31:21Z</dcterms:modified>
</cp:coreProperties>
</file>
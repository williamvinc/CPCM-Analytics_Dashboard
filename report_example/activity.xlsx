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itra\Documents\"/>
    </mc:Choice>
  </mc:AlternateContent>
  <xr:revisionPtr revIDLastSave="0" documentId="13_ncr:1_{8D71C978-2452-4935-9B8C-4731E8EAE1FF}" xr6:coauthVersionLast="47" xr6:coauthVersionMax="47" xr10:uidLastSave="{00000000-0000-0000-0000-000000000000}"/>
  <bookViews>
    <workbookView xWindow="-110" yWindow="-110" windowWidth="19420" windowHeight="10300" xr2:uid="{D463A8BA-F534-42BA-8F73-B1D879EB66BE}"/>
  </bookViews>
  <sheets>
    <sheet name="Sales Report" sheetId="1" r:id="rId1"/>
    <sheet name="Merchant Repo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" i="2" l="1"/>
  <c r="L8" i="2"/>
  <c r="L9" i="2"/>
  <c r="L10" i="2"/>
  <c r="L11" i="2"/>
  <c r="Q6" i="2"/>
  <c r="J7" i="2"/>
  <c r="J8" i="2"/>
  <c r="J9" i="2"/>
  <c r="J10" i="2"/>
  <c r="J11" i="2"/>
  <c r="J6" i="2"/>
  <c r="O13" i="2"/>
  <c r="N13" i="2"/>
  <c r="M13" i="2"/>
  <c r="K13" i="2"/>
  <c r="H13" i="2"/>
  <c r="E13" i="2"/>
  <c r="Q11" i="2"/>
  <c r="I11" i="2"/>
  <c r="Q10" i="2"/>
  <c r="P10" i="2"/>
  <c r="I10" i="2"/>
  <c r="F10" i="2"/>
  <c r="Q9" i="2"/>
  <c r="I9" i="2"/>
  <c r="Q8" i="2"/>
  <c r="I8" i="2"/>
  <c r="Q7" i="2"/>
  <c r="I7" i="2"/>
  <c r="T6" i="1"/>
  <c r="J7" i="1"/>
  <c r="M7" i="1" s="1"/>
  <c r="U7" i="1" s="1"/>
  <c r="J8" i="1"/>
  <c r="M8" i="1" s="1"/>
  <c r="J9" i="1"/>
  <c r="M9" i="1" s="1"/>
  <c r="J10" i="1"/>
  <c r="M10" i="1" s="1"/>
  <c r="U10" i="1" s="1"/>
  <c r="J11" i="1"/>
  <c r="M11" i="1" s="1"/>
  <c r="U11" i="1" s="1"/>
  <c r="J6" i="1"/>
  <c r="M6" i="1" s="1"/>
  <c r="S13" i="1"/>
  <c r="R13" i="1"/>
  <c r="P13" i="1"/>
  <c r="O13" i="1"/>
  <c r="N13" i="1"/>
  <c r="L13" i="1"/>
  <c r="K13" i="1"/>
  <c r="I13" i="1"/>
  <c r="E13" i="1"/>
  <c r="D13" i="1"/>
  <c r="T11" i="1"/>
  <c r="T10" i="1"/>
  <c r="T9" i="1"/>
  <c r="T8" i="1"/>
  <c r="T7" i="1"/>
  <c r="R10" i="2" l="1"/>
  <c r="Q13" i="2"/>
  <c r="P11" i="2"/>
  <c r="F11" i="2"/>
  <c r="R11" i="2" s="1"/>
  <c r="P9" i="2"/>
  <c r="F9" i="2"/>
  <c r="R9" i="2" s="1"/>
  <c r="P8" i="2"/>
  <c r="F8" i="2"/>
  <c r="R8" i="2" s="1"/>
  <c r="P7" i="2"/>
  <c r="F7" i="2"/>
  <c r="R7" i="2" s="1"/>
  <c r="J13" i="2"/>
  <c r="L6" i="2"/>
  <c r="L13" i="2" s="1"/>
  <c r="G13" i="2"/>
  <c r="I6" i="2"/>
  <c r="I13" i="2" s="1"/>
  <c r="D13" i="2"/>
  <c r="P6" i="2"/>
  <c r="F6" i="2"/>
  <c r="U9" i="1"/>
  <c r="U8" i="1"/>
  <c r="T13" i="1"/>
  <c r="J13" i="1"/>
  <c r="R6" i="2" l="1"/>
  <c r="R13" i="2" s="1"/>
  <c r="F13" i="2"/>
  <c r="P13" i="2"/>
  <c r="U6" i="1"/>
  <c r="U13" i="1" s="1"/>
  <c r="M13" i="1"/>
</calcChain>
</file>

<file path=xl/sharedStrings.xml><?xml version="1.0" encoding="utf-8"?>
<sst xmlns="http://schemas.openxmlformats.org/spreadsheetml/2006/main" count="78" uniqueCount="36">
  <si>
    <t>DAILY SALES REPORT</t>
  </si>
  <si>
    <t>Periode :</t>
  </si>
  <si>
    <t>01/06/2026 - 03/06/2026</t>
  </si>
  <si>
    <t>POS</t>
  </si>
  <si>
    <t>Payment Method / Merchant Report</t>
  </si>
  <si>
    <t>Date</t>
  </si>
  <si>
    <t>Store</t>
  </si>
  <si>
    <t>Platform</t>
  </si>
  <si>
    <t>Tax</t>
  </si>
  <si>
    <t>Gross Sales (All incl)</t>
  </si>
  <si>
    <t>BRI</t>
  </si>
  <si>
    <t>BCA</t>
  </si>
  <si>
    <t>Nusapay</t>
  </si>
  <si>
    <t>Deposit</t>
  </si>
  <si>
    <t>Voucher</t>
  </si>
  <si>
    <t>Total</t>
  </si>
  <si>
    <t>Diff</t>
  </si>
  <si>
    <t>TOTAL</t>
  </si>
  <si>
    <t>Activity</t>
  </si>
  <si>
    <t>Gross Amount Excl (Mrs. Puff)</t>
  </si>
  <si>
    <t>Gross Amount Excl (Pup Pup Boogie)</t>
  </si>
  <si>
    <t>Gross Amount Excl (DIY Activity)</t>
  </si>
  <si>
    <t>Gross Amount Excl (Photo Printing)</t>
  </si>
  <si>
    <t>Gross Amount Excl (Coin Changer)</t>
  </si>
  <si>
    <t>Discount</t>
  </si>
  <si>
    <t>Net Sales</t>
  </si>
  <si>
    <t>Service Charge</t>
  </si>
  <si>
    <t>Starthing</t>
  </si>
  <si>
    <t>OUTLET01-Park Nickelodeon</t>
  </si>
  <si>
    <t>OUTLET02-Nickelodeon Theme Park Carstensz Mall</t>
  </si>
  <si>
    <t xml:space="preserve">MERCHANT REPORT </t>
  </si>
  <si>
    <t>NUSAPAY</t>
  </si>
  <si>
    <t>DEPOSIT</t>
  </si>
  <si>
    <t>Amont Transaction</t>
  </si>
  <si>
    <t>MDR</t>
  </si>
  <si>
    <t>Net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</si>
</sst>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14" fontId="2" fillId="0" borderId="0" xfId="1" applyNumberFormat="1" applyFont="1" applyAlignment="1">
      <alignment vertical="center"/>
    </xf>
    <xf numFmtId="164" fontId="0" fillId="0" borderId="0" xfId="1" applyNumberFormat="1" applyFont="1" applyAlignment="1">
      <alignment vertical="center"/>
    </xf>
    <xf numFmtId="164" fontId="0" fillId="0" borderId="0" xfId="1" applyNumberFormat="1" applyFont="1" applyAlignment="1">
      <alignment horizontal="center" vertical="center"/>
    </xf>
    <xf numFmtId="164" fontId="2" fillId="0" borderId="0" xfId="1" applyNumberFormat="1" applyFont="1" applyAlignment="1">
      <alignment vertical="center"/>
    </xf>
    <xf numFmtId="164" fontId="2" fillId="0" borderId="0" xfId="1" applyNumberFormat="1" applyFont="1" applyAlignment="1">
      <alignment horizontal="center" vertical="center"/>
    </xf>
    <xf numFmtId="14" fontId="0" fillId="0" borderId="0" xfId="1" applyNumberFormat="1" applyFont="1" applyAlignment="1">
      <alignment vertical="center"/>
    </xf>
    <xf numFmtId="164" fontId="0" fillId="0" borderId="1" xfId="1" applyNumberFormat="1" applyFont="1" applyBorder="1" applyAlignment="1">
      <alignment horizontal="center" vertical="center"/>
    </xf>
    <xf numFmtId="14" fontId="2" fillId="2" borderId="1" xfId="1" applyNumberFormat="1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center" wrapText="1"/>
    </xf>
    <xf numFmtId="164" fontId="2" fillId="0" borderId="0" xfId="1" applyNumberFormat="1" applyFont="1" applyAlignment="1">
      <alignment horizontal="center" vertical="center" wrapText="1"/>
    </xf>
    <xf numFmtId="14" fontId="0" fillId="0" borderId="1" xfId="1" applyNumberFormat="1" applyFont="1" applyBorder="1" applyAlignment="1">
      <alignment vertical="center"/>
    </xf>
    <xf numFmtId="164" fontId="0" fillId="0" borderId="1" xfId="1" applyNumberFormat="1" applyFont="1" applyBorder="1" applyAlignment="1">
      <alignment vertical="center"/>
    </xf>
    <xf numFmtId="14" fontId="2" fillId="3" borderId="1" xfId="1" applyNumberFormat="1" applyFont="1" applyFill="1" applyBorder="1" applyAlignment="1">
      <alignment vertical="center"/>
    </xf>
    <xf numFmtId="164" fontId="2" fillId="3" borderId="1" xfId="1" applyNumberFormat="1" applyFont="1" applyFill="1" applyBorder="1" applyAlignment="1">
      <alignment vertical="center"/>
    </xf>
    <xf numFmtId="164" fontId="2" fillId="3" borderId="1" xfId="1" applyNumberFormat="1" applyFont="1" applyFill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14" fontId="2" fillId="2" borderId="1" xfId="1" applyNumberFormat="1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6AFCD-DB4A-4706-8361-628DFA5415A3}">
  <dimension ref="A1:U30"/>
  <sheetViews>
    <sheetView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F8" sqref="F8"/>
    </sheetView>
  </sheetViews>
  <sheetFormatPr defaultRowHeight="14.5" x14ac:dyDescent="0.35"/>
  <cols>
    <col min="1" max="1" width="12.36328125" style="6" customWidth="1"/>
    <col min="2" max="2" width="31.90625" style="2" bestFit="1" customWidth="1"/>
    <col min="3" max="3" width="18.1796875" style="3" bestFit="1" customWidth="1"/>
    <col min="4" max="4" width="18.36328125" style="2" customWidth="1"/>
    <col min="5" max="5" width="18.26953125" style="2" customWidth="1"/>
    <col min="6" max="6" width="18.453125" style="2" customWidth="1"/>
    <col min="7" max="7" width="19.36328125" style="2" customWidth="1"/>
    <col min="8" max="8" width="18" style="2" customWidth="1"/>
    <col min="9" max="10" width="12.36328125" style="2" customWidth="1"/>
    <col min="11" max="11" width="13.453125" style="2" customWidth="1"/>
    <col min="12" max="21" width="12.36328125" style="2" customWidth="1"/>
    <col min="22" max="16384" width="8.7265625" style="2"/>
  </cols>
  <sheetData>
    <row r="1" spans="1:21" x14ac:dyDescent="0.35">
      <c r="A1" s="1" t="s">
        <v>0</v>
      </c>
    </row>
    <row r="2" spans="1:21" x14ac:dyDescent="0.35">
      <c r="A2" s="1" t="s">
        <v>1</v>
      </c>
      <c r="B2" s="4" t="s">
        <v>2</v>
      </c>
      <c r="C2" s="5"/>
    </row>
    <row r="4" spans="1:21" x14ac:dyDescent="0.35">
      <c r="D4" s="16" t="s">
        <v>3</v>
      </c>
      <c r="E4" s="16"/>
      <c r="F4" s="16"/>
      <c r="G4" s="16"/>
      <c r="H4" s="16"/>
      <c r="I4" s="16"/>
      <c r="J4" s="16"/>
      <c r="K4" s="16"/>
      <c r="L4" s="16"/>
      <c r="M4" s="16"/>
      <c r="N4" s="16" t="s">
        <v>4</v>
      </c>
      <c r="O4" s="16"/>
      <c r="P4" s="16"/>
      <c r="Q4" s="16"/>
      <c r="R4" s="16"/>
      <c r="S4" s="16"/>
      <c r="T4" s="16"/>
    </row>
    <row r="5" spans="1:21" s="10" customFormat="1" ht="43.5" x14ac:dyDescent="0.35">
      <c r="A5" s="8" t="s">
        <v>5</v>
      </c>
      <c r="B5" s="9" t="s">
        <v>6</v>
      </c>
      <c r="C5" s="9" t="s">
        <v>7</v>
      </c>
      <c r="D5" s="9" t="s">
        <v>19</v>
      </c>
      <c r="E5" s="9" t="s">
        <v>20</v>
      </c>
      <c r="F5" s="9" t="s">
        <v>21</v>
      </c>
      <c r="G5" s="9" t="s">
        <v>22</v>
      </c>
      <c r="H5" s="9" t="s">
        <v>23</v>
      </c>
      <c r="I5" s="9" t="s">
        <v>24</v>
      </c>
      <c r="J5" s="9" t="s">
        <v>25</v>
      </c>
      <c r="K5" s="9" t="s">
        <v>26</v>
      </c>
      <c r="L5" s="9" t="s">
        <v>8</v>
      </c>
      <c r="M5" s="9" t="s">
        <v>9</v>
      </c>
      <c r="N5" s="9" t="s">
        <v>10</v>
      </c>
      <c r="O5" s="9" t="s">
        <v>11</v>
      </c>
      <c r="P5" s="9" t="s">
        <v>12</v>
      </c>
      <c r="Q5" s="9" t="s">
        <v>27</v>
      </c>
      <c r="R5" s="9" t="s">
        <v>13</v>
      </c>
      <c r="S5" s="9" t="s">
        <v>14</v>
      </c>
      <c r="T5" s="9" t="s">
        <v>15</v>
      </c>
      <c r="U5" s="9" t="s">
        <v>16</v>
      </c>
    </row>
    <row r="6" spans="1:21" ht="16" customHeight="1" x14ac:dyDescent="0.35">
      <c r="A6" s="11">
        <v>46174</v>
      </c>
      <c r="B6" s="12" t="s">
        <v>28</v>
      </c>
      <c r="C6" s="7" t="s">
        <v>18</v>
      </c>
      <c r="D6" s="12">
        <v>0</v>
      </c>
      <c r="E6" s="12">
        <v>0</v>
      </c>
      <c r="F6" s="12">
        <v>545455</v>
      </c>
      <c r="G6" s="12"/>
      <c r="H6" s="12"/>
      <c r="I6" s="12"/>
      <c r="J6" s="12">
        <f>SUM(D6:H6)-I6</f>
        <v>545455</v>
      </c>
      <c r="K6" s="12"/>
      <c r="L6" s="12">
        <v>54545</v>
      </c>
      <c r="M6" s="12">
        <f>J6+K6+L6</f>
        <v>600000</v>
      </c>
      <c r="N6" s="12"/>
      <c r="O6" s="12"/>
      <c r="P6" s="12">
        <v>600000</v>
      </c>
      <c r="Q6" s="12"/>
      <c r="R6" s="12">
        <v>0</v>
      </c>
      <c r="S6" s="12">
        <v>0</v>
      </c>
      <c r="T6" s="12">
        <f>SUM(N6:S6)</f>
        <v>600000</v>
      </c>
      <c r="U6" s="12">
        <f>M6-T6</f>
        <v>0</v>
      </c>
    </row>
    <row r="7" spans="1:21" ht="16" customHeight="1" x14ac:dyDescent="0.35">
      <c r="A7" s="11">
        <v>46175</v>
      </c>
      <c r="B7" s="12" t="s">
        <v>28</v>
      </c>
      <c r="C7" s="7" t="s">
        <v>18</v>
      </c>
      <c r="D7" s="12"/>
      <c r="E7" s="12"/>
      <c r="F7" s="12">
        <v>136364</v>
      </c>
      <c r="G7" s="12"/>
      <c r="H7" s="12"/>
      <c r="I7" s="12"/>
      <c r="J7" s="12">
        <f t="shared" ref="J7:J11" si="0">SUM(D7:H7)-I7</f>
        <v>136364</v>
      </c>
      <c r="K7" s="12"/>
      <c r="L7" s="12">
        <v>13636</v>
      </c>
      <c r="M7" s="12">
        <f t="shared" ref="M7:M11" si="1">J7+K7+L7</f>
        <v>150000</v>
      </c>
      <c r="N7" s="12"/>
      <c r="O7" s="12"/>
      <c r="P7" s="12">
        <v>150000</v>
      </c>
      <c r="Q7" s="12"/>
      <c r="R7" s="12">
        <v>0</v>
      </c>
      <c r="S7" s="12">
        <v>0</v>
      </c>
      <c r="T7" s="12">
        <f t="shared" ref="T7" si="2">SUM(N7:S7)</f>
        <v>150000</v>
      </c>
      <c r="U7" s="12">
        <f>M7-T7</f>
        <v>0</v>
      </c>
    </row>
    <row r="8" spans="1:21" ht="16" customHeight="1" x14ac:dyDescent="0.35">
      <c r="A8" s="11">
        <v>46176</v>
      </c>
      <c r="B8" s="12" t="s">
        <v>28</v>
      </c>
      <c r="C8" s="7" t="s">
        <v>18</v>
      </c>
      <c r="D8" s="12"/>
      <c r="E8" s="12"/>
      <c r="F8" s="12">
        <v>318182</v>
      </c>
      <c r="G8" s="12"/>
      <c r="H8" s="12"/>
      <c r="I8" s="12"/>
      <c r="J8" s="12">
        <f t="shared" si="0"/>
        <v>318182</v>
      </c>
      <c r="K8" s="12"/>
      <c r="L8" s="12">
        <v>31818</v>
      </c>
      <c r="M8" s="12">
        <f t="shared" si="1"/>
        <v>350000</v>
      </c>
      <c r="N8" s="12"/>
      <c r="O8" s="12"/>
      <c r="P8" s="12">
        <v>350000</v>
      </c>
      <c r="Q8" s="12"/>
      <c r="R8" s="12">
        <v>0</v>
      </c>
      <c r="S8" s="12">
        <v>0</v>
      </c>
      <c r="T8" s="12">
        <f>SUM(N8:S8)</f>
        <v>350000</v>
      </c>
      <c r="U8" s="12">
        <f>M8-T8</f>
        <v>0</v>
      </c>
    </row>
    <row r="9" spans="1:21" ht="16" customHeight="1" x14ac:dyDescent="0.35">
      <c r="A9" s="11">
        <v>46174</v>
      </c>
      <c r="B9" s="12" t="s">
        <v>29</v>
      </c>
      <c r="C9" s="7" t="s">
        <v>18</v>
      </c>
      <c r="D9" s="12"/>
      <c r="E9" s="12">
        <v>90910</v>
      </c>
      <c r="F9" s="12"/>
      <c r="G9" s="12"/>
      <c r="H9" s="12"/>
      <c r="I9" s="12"/>
      <c r="J9" s="12">
        <f t="shared" si="0"/>
        <v>90910</v>
      </c>
      <c r="K9" s="12"/>
      <c r="L9" s="12">
        <v>9090</v>
      </c>
      <c r="M9" s="12">
        <f t="shared" si="1"/>
        <v>100000</v>
      </c>
      <c r="N9" s="12"/>
      <c r="O9" s="12"/>
      <c r="P9" s="12">
        <v>100000</v>
      </c>
      <c r="Q9" s="12"/>
      <c r="R9" s="12">
        <v>0</v>
      </c>
      <c r="S9" s="12">
        <v>0</v>
      </c>
      <c r="T9" s="12">
        <f t="shared" ref="T9:T11" si="3">SUM(N9:S9)</f>
        <v>100000</v>
      </c>
      <c r="U9" s="12">
        <f t="shared" ref="U9:U11" si="4">M9-T9</f>
        <v>0</v>
      </c>
    </row>
    <row r="10" spans="1:21" ht="16" customHeight="1" x14ac:dyDescent="0.35">
      <c r="A10" s="11">
        <v>46175</v>
      </c>
      <c r="B10" s="12" t="s">
        <v>29</v>
      </c>
      <c r="C10" s="7" t="s">
        <v>18</v>
      </c>
      <c r="D10" s="12"/>
      <c r="E10" s="12"/>
      <c r="F10" s="12"/>
      <c r="G10" s="12"/>
      <c r="H10" s="12"/>
      <c r="I10" s="12"/>
      <c r="J10" s="12">
        <f t="shared" si="0"/>
        <v>0</v>
      </c>
      <c r="K10" s="12"/>
      <c r="L10" s="12"/>
      <c r="M10" s="12">
        <f t="shared" si="1"/>
        <v>0</v>
      </c>
      <c r="N10" s="12"/>
      <c r="O10" s="12"/>
      <c r="P10" s="12"/>
      <c r="Q10" s="12"/>
      <c r="R10" s="12">
        <v>0</v>
      </c>
      <c r="S10" s="12">
        <v>0</v>
      </c>
      <c r="T10" s="12">
        <f t="shared" si="3"/>
        <v>0</v>
      </c>
      <c r="U10" s="12">
        <f t="shared" si="4"/>
        <v>0</v>
      </c>
    </row>
    <row r="11" spans="1:21" ht="16" customHeight="1" x14ac:dyDescent="0.35">
      <c r="A11" s="11">
        <v>46176</v>
      </c>
      <c r="B11" s="12" t="s">
        <v>29</v>
      </c>
      <c r="C11" s="7" t="s">
        <v>18</v>
      </c>
      <c r="D11" s="12"/>
      <c r="E11" s="12"/>
      <c r="F11" s="12"/>
      <c r="G11" s="12"/>
      <c r="H11" s="12"/>
      <c r="I11" s="12"/>
      <c r="J11" s="12">
        <f t="shared" si="0"/>
        <v>0</v>
      </c>
      <c r="K11" s="12"/>
      <c r="L11" s="12"/>
      <c r="M11" s="12">
        <f t="shared" si="1"/>
        <v>0</v>
      </c>
      <c r="N11" s="12"/>
      <c r="O11" s="12"/>
      <c r="P11" s="12"/>
      <c r="Q11" s="12"/>
      <c r="R11" s="12">
        <v>0</v>
      </c>
      <c r="S11" s="12">
        <v>0</v>
      </c>
      <c r="T11" s="12">
        <f t="shared" si="3"/>
        <v>0</v>
      </c>
      <c r="U11" s="12">
        <f t="shared" si="4"/>
        <v>0</v>
      </c>
    </row>
    <row r="12" spans="1:21" ht="16" customHeight="1" x14ac:dyDescent="0.35">
      <c r="A12" s="11"/>
      <c r="B12" s="12"/>
      <c r="C12" s="7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 spans="1:21" ht="16" customHeight="1" x14ac:dyDescent="0.35">
      <c r="A13" s="13"/>
      <c r="B13" s="14" t="s">
        <v>17</v>
      </c>
      <c r="C13" s="15"/>
      <c r="D13" s="14">
        <f t="shared" ref="D13:U13" si="5">SUM(D6:D12)</f>
        <v>0</v>
      </c>
      <c r="E13" s="14">
        <f t="shared" si="5"/>
        <v>90910</v>
      </c>
      <c r="F13" s="14"/>
      <c r="G13" s="14"/>
      <c r="H13" s="14"/>
      <c r="I13" s="14">
        <f t="shared" si="5"/>
        <v>0</v>
      </c>
      <c r="J13" s="14">
        <f t="shared" si="5"/>
        <v>1090911</v>
      </c>
      <c r="K13" s="14">
        <f t="shared" si="5"/>
        <v>0</v>
      </c>
      <c r="L13" s="14">
        <f t="shared" si="5"/>
        <v>109089</v>
      </c>
      <c r="M13" s="14">
        <f t="shared" si="5"/>
        <v>1200000</v>
      </c>
      <c r="N13" s="14">
        <f t="shared" si="5"/>
        <v>0</v>
      </c>
      <c r="O13" s="14">
        <f t="shared" si="5"/>
        <v>0</v>
      </c>
      <c r="P13" s="14">
        <f t="shared" si="5"/>
        <v>1200000</v>
      </c>
      <c r="Q13" s="14"/>
      <c r="R13" s="14">
        <f t="shared" si="5"/>
        <v>0</v>
      </c>
      <c r="S13" s="14">
        <f t="shared" si="5"/>
        <v>0</v>
      </c>
      <c r="T13" s="14">
        <f t="shared" si="5"/>
        <v>1200000</v>
      </c>
      <c r="U13" s="14">
        <f t="shared" si="5"/>
        <v>0</v>
      </c>
    </row>
    <row r="14" spans="1:21" ht="16" customHeight="1" x14ac:dyDescent="0.35"/>
    <row r="15" spans="1:21" ht="16" customHeight="1" x14ac:dyDescent="0.35"/>
    <row r="16" spans="1:21" ht="16" customHeight="1" x14ac:dyDescent="0.35"/>
    <row r="17" ht="16" customHeight="1" x14ac:dyDescent="0.35"/>
    <row r="18" ht="16" customHeight="1" x14ac:dyDescent="0.35"/>
    <row r="19" ht="16" customHeight="1" x14ac:dyDescent="0.35"/>
    <row r="20" ht="16" customHeight="1" x14ac:dyDescent="0.35"/>
    <row r="21" ht="16" customHeight="1" x14ac:dyDescent="0.35"/>
    <row r="22" ht="16" customHeight="1" x14ac:dyDescent="0.35"/>
    <row r="23" ht="16" customHeight="1" x14ac:dyDescent="0.35"/>
    <row r="24" ht="16" customHeight="1" x14ac:dyDescent="0.35"/>
    <row r="25" ht="16" customHeight="1" x14ac:dyDescent="0.35"/>
    <row r="26" ht="16" customHeight="1" x14ac:dyDescent="0.35"/>
    <row r="27" ht="16" customHeight="1" x14ac:dyDescent="0.35"/>
    <row r="28" ht="16" customHeight="1" x14ac:dyDescent="0.35"/>
    <row r="29" ht="16" customHeight="1" x14ac:dyDescent="0.35"/>
    <row r="30" ht="16" customHeight="1" x14ac:dyDescent="0.35"/>
  </sheetData>
  <mergeCells count="2">
    <mergeCell ref="D4:M4"/>
    <mergeCell ref="N4:T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878C4-A224-47D0-B4E7-8595E22771AF}">
  <dimension ref="A1:R30"/>
  <sheetViews>
    <sheetView workbookViewId="0">
      <selection activeCell="C9" sqref="C9"/>
    </sheetView>
  </sheetViews>
  <sheetFormatPr defaultRowHeight="14.5" x14ac:dyDescent="0.35"/>
  <cols>
    <col min="1" max="1" width="12.36328125" style="6" customWidth="1"/>
    <col min="2" max="2" width="45" style="2" bestFit="1" customWidth="1"/>
    <col min="3" max="3" width="18.1796875" style="2" bestFit="1" customWidth="1"/>
    <col min="4" max="18" width="13.08984375" style="2" customWidth="1"/>
    <col min="19" max="16384" width="8.7265625" style="2"/>
  </cols>
  <sheetData>
    <row r="1" spans="1:18" x14ac:dyDescent="0.35">
      <c r="A1" s="1" t="s">
        <v>30</v>
      </c>
    </row>
    <row r="2" spans="1:18" x14ac:dyDescent="0.35">
      <c r="A2" s="1" t="s">
        <v>1</v>
      </c>
      <c r="B2" s="4" t="s">
        <v>2</v>
      </c>
      <c r="C2" s="4"/>
    </row>
    <row r="4" spans="1:18" x14ac:dyDescent="0.35">
      <c r="A4" s="17" t="s">
        <v>5</v>
      </c>
      <c r="B4" s="18" t="s">
        <v>6</v>
      </c>
      <c r="C4" s="18" t="s">
        <v>7</v>
      </c>
      <c r="D4" s="19" t="s">
        <v>10</v>
      </c>
      <c r="E4" s="19"/>
      <c r="F4" s="19"/>
      <c r="G4" s="19" t="s">
        <v>11</v>
      </c>
      <c r="H4" s="19"/>
      <c r="I4" s="19"/>
      <c r="J4" s="19" t="s">
        <v>31</v>
      </c>
      <c r="K4" s="19"/>
      <c r="L4" s="19"/>
      <c r="M4" s="19" t="s">
        <v>32</v>
      </c>
      <c r="N4" s="19"/>
      <c r="O4" s="19"/>
      <c r="P4" s="19" t="s">
        <v>17</v>
      </c>
      <c r="Q4" s="19"/>
      <c r="R4" s="19"/>
    </row>
    <row r="5" spans="1:18" s="10" customFormat="1" ht="29" x14ac:dyDescent="0.35">
      <c r="A5" s="17"/>
      <c r="B5" s="18"/>
      <c r="C5" s="18"/>
      <c r="D5" s="9" t="s">
        <v>33</v>
      </c>
      <c r="E5" s="9" t="s">
        <v>34</v>
      </c>
      <c r="F5" s="9" t="s">
        <v>35</v>
      </c>
      <c r="G5" s="9" t="s">
        <v>33</v>
      </c>
      <c r="H5" s="9" t="s">
        <v>34</v>
      </c>
      <c r="I5" s="9" t="s">
        <v>35</v>
      </c>
      <c r="J5" s="9" t="s">
        <v>33</v>
      </c>
      <c r="K5" s="9" t="s">
        <v>34</v>
      </c>
      <c r="L5" s="9" t="s">
        <v>35</v>
      </c>
      <c r="M5" s="9" t="s">
        <v>33</v>
      </c>
      <c r="N5" s="9" t="s">
        <v>34</v>
      </c>
      <c r="O5" s="9" t="s">
        <v>35</v>
      </c>
      <c r="P5" s="9" t="s">
        <v>33</v>
      </c>
      <c r="Q5" s="9" t="s">
        <v>34</v>
      </c>
      <c r="R5" s="9" t="s">
        <v>35</v>
      </c>
    </row>
    <row r="6" spans="1:18" ht="16" customHeight="1" x14ac:dyDescent="0.35">
      <c r="A6" s="11">
        <v>46174</v>
      </c>
      <c r="B6" s="12" t="s">
        <v>28</v>
      </c>
      <c r="C6" s="7" t="s">
        <v>18</v>
      </c>
      <c r="D6" s="12"/>
      <c r="E6" s="12"/>
      <c r="F6" s="12">
        <f>D6-E6</f>
        <v>0</v>
      </c>
      <c r="G6" s="12"/>
      <c r="H6" s="12"/>
      <c r="I6" s="12">
        <f>G6-H6</f>
        <v>0</v>
      </c>
      <c r="J6" s="12">
        <f>'Sales Report'!P6</f>
        <v>600000</v>
      </c>
      <c r="K6" s="12">
        <v>4200</v>
      </c>
      <c r="L6" s="12">
        <f>J6-K6</f>
        <v>595800</v>
      </c>
      <c r="M6" s="12"/>
      <c r="N6" s="12"/>
      <c r="O6" s="12"/>
      <c r="P6" s="12">
        <f>D6+G6+J6+M6</f>
        <v>600000</v>
      </c>
      <c r="Q6" s="12">
        <f>E6+H6+K6+N6</f>
        <v>4200</v>
      </c>
      <c r="R6" s="12">
        <f>F6+I6+L6+O6</f>
        <v>595800</v>
      </c>
    </row>
    <row r="7" spans="1:18" ht="16" customHeight="1" x14ac:dyDescent="0.35">
      <c r="A7" s="11">
        <v>46175</v>
      </c>
      <c r="B7" s="12" t="s">
        <v>28</v>
      </c>
      <c r="C7" s="7" t="s">
        <v>18</v>
      </c>
      <c r="D7" s="12"/>
      <c r="E7" s="12"/>
      <c r="F7" s="12">
        <f t="shared" ref="F7:F11" si="0">D7-E7</f>
        <v>0</v>
      </c>
      <c r="G7" s="12"/>
      <c r="H7" s="12"/>
      <c r="I7" s="12">
        <f t="shared" ref="I7:I11" si="1">G7-H7</f>
        <v>0</v>
      </c>
      <c r="J7" s="12">
        <f>'Sales Report'!P7</f>
        <v>150000</v>
      </c>
      <c r="K7" s="12">
        <v>1050</v>
      </c>
      <c r="L7" s="12">
        <f t="shared" ref="L7:L11" si="2">J7-K7</f>
        <v>148950</v>
      </c>
      <c r="M7" s="12"/>
      <c r="N7" s="12"/>
      <c r="O7" s="12"/>
      <c r="P7" s="12">
        <f t="shared" ref="P7:R11" si="3">D7+G7+J7+M7</f>
        <v>150000</v>
      </c>
      <c r="Q7" s="12">
        <f t="shared" si="3"/>
        <v>1050</v>
      </c>
      <c r="R7" s="12">
        <f t="shared" si="3"/>
        <v>148950</v>
      </c>
    </row>
    <row r="8" spans="1:18" ht="16" customHeight="1" x14ac:dyDescent="0.35">
      <c r="A8" s="11">
        <v>46176</v>
      </c>
      <c r="B8" s="12" t="s">
        <v>28</v>
      </c>
      <c r="C8" s="7" t="s">
        <v>18</v>
      </c>
      <c r="D8" s="12"/>
      <c r="E8" s="12"/>
      <c r="F8" s="12">
        <f t="shared" si="0"/>
        <v>0</v>
      </c>
      <c r="G8" s="12"/>
      <c r="H8" s="12"/>
      <c r="I8" s="12">
        <f t="shared" si="1"/>
        <v>0</v>
      </c>
      <c r="J8" s="12">
        <f>'Sales Report'!P8</f>
        <v>350000</v>
      </c>
      <c r="K8" s="12">
        <v>2449.9999999999995</v>
      </c>
      <c r="L8" s="12">
        <f t="shared" si="2"/>
        <v>347550</v>
      </c>
      <c r="M8" s="12"/>
      <c r="N8" s="12"/>
      <c r="O8" s="12"/>
      <c r="P8" s="12">
        <f t="shared" si="3"/>
        <v>350000</v>
      </c>
      <c r="Q8" s="12">
        <f t="shared" si="3"/>
        <v>2449.9999999999995</v>
      </c>
      <c r="R8" s="12">
        <f t="shared" si="3"/>
        <v>347550</v>
      </c>
    </row>
    <row r="9" spans="1:18" ht="16" customHeight="1" x14ac:dyDescent="0.35">
      <c r="A9" s="11">
        <v>46174</v>
      </c>
      <c r="B9" s="12" t="s">
        <v>29</v>
      </c>
      <c r="C9" s="7" t="s">
        <v>18</v>
      </c>
      <c r="D9" s="12"/>
      <c r="E9" s="12"/>
      <c r="F9" s="12">
        <f t="shared" si="0"/>
        <v>0</v>
      </c>
      <c r="G9" s="12"/>
      <c r="H9" s="12"/>
      <c r="I9" s="12">
        <f t="shared" si="1"/>
        <v>0</v>
      </c>
      <c r="J9" s="12">
        <f>'Sales Report'!P9</f>
        <v>100000</v>
      </c>
      <c r="K9" s="12">
        <v>700</v>
      </c>
      <c r="L9" s="12">
        <f t="shared" si="2"/>
        <v>99300</v>
      </c>
      <c r="M9" s="12"/>
      <c r="N9" s="12"/>
      <c r="O9" s="12"/>
      <c r="P9" s="12">
        <f t="shared" si="3"/>
        <v>100000</v>
      </c>
      <c r="Q9" s="12">
        <f t="shared" si="3"/>
        <v>700</v>
      </c>
      <c r="R9" s="12">
        <f t="shared" si="3"/>
        <v>99300</v>
      </c>
    </row>
    <row r="10" spans="1:18" ht="16" customHeight="1" x14ac:dyDescent="0.35">
      <c r="A10" s="11">
        <v>46175</v>
      </c>
      <c r="B10" s="12" t="s">
        <v>29</v>
      </c>
      <c r="C10" s="7" t="s">
        <v>18</v>
      </c>
      <c r="D10" s="12"/>
      <c r="E10" s="12"/>
      <c r="F10" s="12">
        <f t="shared" si="0"/>
        <v>0</v>
      </c>
      <c r="G10" s="12"/>
      <c r="H10" s="12"/>
      <c r="I10" s="12">
        <f t="shared" si="1"/>
        <v>0</v>
      </c>
      <c r="J10" s="12">
        <f>'Sales Report'!P10</f>
        <v>0</v>
      </c>
      <c r="K10" s="12">
        <v>0</v>
      </c>
      <c r="L10" s="12">
        <f t="shared" si="2"/>
        <v>0</v>
      </c>
      <c r="M10" s="12"/>
      <c r="N10" s="12"/>
      <c r="O10" s="12"/>
      <c r="P10" s="12">
        <f t="shared" si="3"/>
        <v>0</v>
      </c>
      <c r="Q10" s="12">
        <f t="shared" si="3"/>
        <v>0</v>
      </c>
      <c r="R10" s="12">
        <f t="shared" si="3"/>
        <v>0</v>
      </c>
    </row>
    <row r="11" spans="1:18" ht="16" customHeight="1" x14ac:dyDescent="0.35">
      <c r="A11" s="11">
        <v>46176</v>
      </c>
      <c r="B11" s="12" t="s">
        <v>29</v>
      </c>
      <c r="C11" s="7" t="s">
        <v>18</v>
      </c>
      <c r="D11" s="12"/>
      <c r="E11" s="12"/>
      <c r="F11" s="12">
        <f t="shared" si="0"/>
        <v>0</v>
      </c>
      <c r="G11" s="12"/>
      <c r="H11" s="12"/>
      <c r="I11" s="12">
        <f t="shared" si="1"/>
        <v>0</v>
      </c>
      <c r="J11" s="12">
        <f>'Sales Report'!P11</f>
        <v>0</v>
      </c>
      <c r="K11" s="12">
        <v>0</v>
      </c>
      <c r="L11" s="12">
        <f t="shared" si="2"/>
        <v>0</v>
      </c>
      <c r="M11" s="12"/>
      <c r="N11" s="12"/>
      <c r="O11" s="12"/>
      <c r="P11" s="12">
        <f t="shared" si="3"/>
        <v>0</v>
      </c>
      <c r="Q11" s="12">
        <f t="shared" si="3"/>
        <v>0</v>
      </c>
      <c r="R11" s="12">
        <f t="shared" si="3"/>
        <v>0</v>
      </c>
    </row>
    <row r="12" spans="1:18" ht="16" customHeight="1" x14ac:dyDescent="0.35">
      <c r="A12" s="11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</row>
    <row r="13" spans="1:18" ht="16" customHeight="1" x14ac:dyDescent="0.35">
      <c r="A13" s="13"/>
      <c r="B13" s="14" t="s">
        <v>17</v>
      </c>
      <c r="C13" s="14"/>
      <c r="D13" s="14">
        <f>SUM(D6:D12)</f>
        <v>0</v>
      </c>
      <c r="E13" s="14">
        <f t="shared" ref="E13:R13" si="4">SUM(E6:E12)</f>
        <v>0</v>
      </c>
      <c r="F13" s="14">
        <f t="shared" si="4"/>
        <v>0</v>
      </c>
      <c r="G13" s="14">
        <f t="shared" si="4"/>
        <v>0</v>
      </c>
      <c r="H13" s="14">
        <f t="shared" si="4"/>
        <v>0</v>
      </c>
      <c r="I13" s="14">
        <f t="shared" si="4"/>
        <v>0</v>
      </c>
      <c r="J13" s="14">
        <f t="shared" si="4"/>
        <v>1200000</v>
      </c>
      <c r="K13" s="14">
        <f t="shared" si="4"/>
        <v>8400</v>
      </c>
      <c r="L13" s="14">
        <f t="shared" si="4"/>
        <v>1191600</v>
      </c>
      <c r="M13" s="14">
        <f t="shared" si="4"/>
        <v>0</v>
      </c>
      <c r="N13" s="14">
        <f t="shared" si="4"/>
        <v>0</v>
      </c>
      <c r="O13" s="14">
        <f t="shared" si="4"/>
        <v>0</v>
      </c>
      <c r="P13" s="14">
        <f t="shared" si="4"/>
        <v>1200000</v>
      </c>
      <c r="Q13" s="14">
        <f t="shared" si="4"/>
        <v>8400</v>
      </c>
      <c r="R13" s="14">
        <f t="shared" si="4"/>
        <v>1191600</v>
      </c>
    </row>
    <row r="14" spans="1:18" ht="16" customHeight="1" x14ac:dyDescent="0.35"/>
    <row r="15" spans="1:18" ht="16" customHeight="1" x14ac:dyDescent="0.35"/>
    <row r="16" spans="1:18" ht="16" customHeight="1" x14ac:dyDescent="0.35"/>
    <row r="17" ht="16" customHeight="1" x14ac:dyDescent="0.35"/>
    <row r="18" ht="16" customHeight="1" x14ac:dyDescent="0.35"/>
    <row r="19" ht="16" customHeight="1" x14ac:dyDescent="0.35"/>
    <row r="20" ht="16" customHeight="1" x14ac:dyDescent="0.35"/>
    <row r="21" ht="16" customHeight="1" x14ac:dyDescent="0.35"/>
    <row r="22" ht="16" customHeight="1" x14ac:dyDescent="0.35"/>
    <row r="23" ht="16" customHeight="1" x14ac:dyDescent="0.35"/>
    <row r="24" ht="16" customHeight="1" x14ac:dyDescent="0.35"/>
    <row r="25" ht="16" customHeight="1" x14ac:dyDescent="0.35"/>
    <row r="26" ht="16" customHeight="1" x14ac:dyDescent="0.35"/>
    <row r="27" ht="16" customHeight="1" x14ac:dyDescent="0.35"/>
    <row r="28" ht="16" customHeight="1" x14ac:dyDescent="0.35"/>
    <row r="29" ht="16" customHeight="1" x14ac:dyDescent="0.35"/>
    <row r="30" ht="16" customHeight="1" x14ac:dyDescent="0.35"/>
  </sheetData>
  <mergeCells count="8">
    <mergeCell ref="M4:O4"/>
    <mergeCell ref="P4:R4"/>
    <mergeCell ref="A4:A5"/>
    <mergeCell ref="B4:B5"/>
    <mergeCell ref="C4:C5"/>
    <mergeCell ref="D4:F4"/>
    <mergeCell ref="G4:I4"/>
    <mergeCell ref="J4: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Report</vt:lpstr>
      <vt:lpstr>Merchant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Citra Satwika Amelia</dc:creator>
  <cp:lastModifiedBy>Citra Satwika Amelia</cp:lastModifiedBy>
  <dcterms:created xsi:type="dcterms:W3CDTF">2026-08-13T02:55:34Z</dcterms:created>
  <dcterms:modified xsi:type="dcterms:W3CDTF">2026-08-13T04:45:52Z</dcterms:modified>
</cp:coreProperties>
</file>